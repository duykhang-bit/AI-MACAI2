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xr:revisionPtr revIDLastSave="0" documentId="8_{8F6D1E98-DCAB-4A76-AA81-6A0DCD40EE63}" xr6:coauthVersionLast="47" xr6:coauthVersionMax="47" xr10:uidLastSave="{00000000-0000-0000-0000-000000000000}"/>
  <bookViews>
    <workbookView xWindow="240" yWindow="105" windowWidth="14805" windowHeight="8010" firstSheet="2" activeTab="3" xr2:uid="{00000000-000D-0000-FFFF-FFFF00000000}"/>
  </bookViews>
  <sheets>
    <sheet name="Report " sheetId="1" r:id="rId1"/>
    <sheet name="Onboarding" sheetId="15" r:id="rId2"/>
    <sheet name="Kịch bản pro" sheetId="13" r:id="rId3"/>
    <sheet name="Data test"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1" l="1"/>
  <c r="M32" i="1"/>
  <c r="L32" i="1"/>
  <c r="K32" i="1"/>
  <c r="J32" i="1"/>
  <c r="I32" i="1"/>
  <c r="M31" i="1"/>
  <c r="N31" i="1"/>
  <c r="N30" i="1"/>
  <c r="N29" i="1"/>
  <c r="N28" i="1"/>
  <c r="N27" i="1"/>
  <c r="M30" i="1"/>
  <c r="M29" i="1"/>
  <c r="M28" i="1"/>
  <c r="M27" i="1"/>
  <c r="L31" i="1"/>
  <c r="L30" i="1"/>
  <c r="L29" i="1"/>
  <c r="L28" i="1"/>
  <c r="L27" i="1"/>
  <c r="K31" i="1"/>
  <c r="K30" i="1"/>
  <c r="K29" i="1"/>
  <c r="K28" i="1"/>
  <c r="K27" i="1"/>
  <c r="J31" i="1"/>
  <c r="J30" i="1"/>
  <c r="J29" i="1"/>
  <c r="J28" i="1"/>
  <c r="J27" i="1"/>
  <c r="I31" i="1"/>
  <c r="I30" i="1"/>
  <c r="I29" i="1"/>
  <c r="I28" i="1"/>
  <c r="I27" i="1"/>
  <c r="O27" i="1"/>
  <c r="P27" i="1"/>
  <c r="Q27" i="1"/>
  <c r="O28" i="1"/>
  <c r="P28" i="1"/>
  <c r="Q28" i="1"/>
  <c r="O29" i="1"/>
  <c r="P29" i="1"/>
  <c r="Q29" i="1"/>
  <c r="O30" i="1"/>
  <c r="P30" i="1"/>
  <c r="Q30" i="1"/>
  <c r="O31" i="1"/>
  <c r="P31" i="1"/>
  <c r="Q31" i="1"/>
  <c r="O32" i="1"/>
  <c r="P32" i="1"/>
  <c r="Q32" i="1"/>
  <c r="I33" i="1"/>
  <c r="Q33" i="1" s="1"/>
  <c r="J33" i="1"/>
  <c r="K33" i="1"/>
  <c r="L33" i="1"/>
  <c r="N33" i="1"/>
  <c r="O33" i="1"/>
  <c r="N42" i="1"/>
  <c r="M42" i="1"/>
  <c r="L42" i="1"/>
  <c r="K42" i="1"/>
  <c r="J42" i="1"/>
  <c r="I42" i="1"/>
  <c r="N43" i="1"/>
  <c r="M43" i="1"/>
  <c r="L43" i="1"/>
  <c r="K43" i="1"/>
  <c r="J43" i="1"/>
  <c r="I43" i="1"/>
  <c r="O42" i="1"/>
  <c r="P42" i="1"/>
  <c r="Q42" i="1"/>
  <c r="O43" i="1"/>
  <c r="P43" i="1"/>
  <c r="Q43" i="1"/>
  <c r="I44" i="1"/>
  <c r="J44" i="1"/>
  <c r="K44" i="1"/>
  <c r="L44" i="1"/>
  <c r="N44" i="1"/>
  <c r="O44" i="1"/>
  <c r="I12" i="1"/>
  <c r="N55" i="1"/>
  <c r="M55" i="1"/>
  <c r="L55" i="1"/>
  <c r="K55" i="1"/>
  <c r="J55" i="1"/>
  <c r="I55" i="1"/>
  <c r="N54" i="1"/>
  <c r="M54" i="1"/>
  <c r="L54" i="1"/>
  <c r="K54" i="1"/>
  <c r="J54" i="1"/>
  <c r="I54" i="1"/>
  <c r="L16" i="1"/>
  <c r="N16" i="1"/>
  <c r="M16" i="1"/>
  <c r="K16" i="1"/>
  <c r="J16" i="1"/>
  <c r="I16" i="1"/>
  <c r="O16" i="1"/>
  <c r="P16" i="1"/>
  <c r="Q16" i="1"/>
  <c r="N15" i="1"/>
  <c r="M15" i="1"/>
  <c r="L15" i="1"/>
  <c r="K15" i="1"/>
  <c r="J15" i="1"/>
  <c r="I15" i="1"/>
  <c r="O15" i="1"/>
  <c r="P15" i="1"/>
  <c r="Q15" i="1"/>
  <c r="J14" i="1"/>
  <c r="K14" i="1"/>
  <c r="L14" i="1"/>
  <c r="M14" i="1"/>
  <c r="N14" i="1"/>
  <c r="N11" i="1"/>
  <c r="N12" i="1"/>
  <c r="N13" i="1"/>
  <c r="M13" i="1"/>
  <c r="L13" i="1"/>
  <c r="K13" i="1"/>
  <c r="J13" i="1"/>
  <c r="M12" i="1"/>
  <c r="L12" i="1"/>
  <c r="K12" i="1"/>
  <c r="J12" i="1"/>
  <c r="I14" i="1"/>
  <c r="I13" i="1"/>
  <c r="O12" i="1"/>
  <c r="O13" i="1"/>
  <c r="O14" i="1"/>
  <c r="M11" i="1"/>
  <c r="M17" i="1" s="1"/>
  <c r="M33" i="1" s="1"/>
  <c r="P33" i="1" s="1"/>
  <c r="L11" i="1"/>
  <c r="K11" i="1"/>
  <c r="J11" i="1"/>
  <c r="I11" i="1"/>
  <c r="O11" i="1"/>
  <c r="O17" i="1" s="1"/>
  <c r="P11" i="1"/>
  <c r="Q11" i="1"/>
  <c r="Q44" i="1" l="1"/>
  <c r="P44" i="1"/>
  <c r="M44" i="1"/>
  <c r="I56" i="1"/>
  <c r="J56" i="1"/>
  <c r="K56" i="1"/>
  <c r="L56" i="1"/>
  <c r="N56" i="1"/>
  <c r="I17" i="1"/>
  <c r="N17" i="1"/>
  <c r="L17" i="1"/>
  <c r="K17" i="1"/>
  <c r="J17" i="1"/>
  <c r="M56" i="1"/>
  <c r="O54" i="1"/>
  <c r="O55" i="1"/>
  <c r="P12" i="1"/>
  <c r="Q12" i="1"/>
  <c r="P13" i="1"/>
  <c r="Q13" i="1"/>
  <c r="P14" i="1"/>
  <c r="Q14" i="1"/>
  <c r="Q56" i="1" l="1"/>
  <c r="Q17" i="1"/>
  <c r="P17" i="1"/>
  <c r="Q55" i="1"/>
  <c r="P55" i="1"/>
  <c r="Q54" i="1"/>
  <c r="P54" i="1"/>
  <c r="O56" i="1"/>
  <c r="P56" i="1" s="1"/>
</calcChain>
</file>

<file path=xl/sharedStrings.xml><?xml version="1.0" encoding="utf-8"?>
<sst xmlns="http://schemas.openxmlformats.org/spreadsheetml/2006/main" count="1257" uniqueCount="591">
  <si>
    <t>Project Name:</t>
  </si>
  <si>
    <t>Tàu 16/03/2026</t>
  </si>
  <si>
    <t>Module/Feature:</t>
  </si>
  <si>
    <t xml:space="preserve">Family Package </t>
  </si>
  <si>
    <t>Tester:</t>
  </si>
  <si>
    <t>KhangLD10/AnhLQD2</t>
  </si>
  <si>
    <t>Start date:</t>
  </si>
  <si>
    <t>End date</t>
  </si>
  <si>
    <t>CI - LC</t>
  </si>
  <si>
    <t>Project</t>
  </si>
  <si>
    <t>Service</t>
  </si>
  <si>
    <t xml:space="preserve">Project </t>
  </si>
  <si>
    <t>Group Feature</t>
  </si>
  <si>
    <t>Jira ID</t>
  </si>
  <si>
    <t>Summary</t>
  </si>
  <si>
    <t>Passed</t>
  </si>
  <si>
    <t>Failed</t>
  </si>
  <si>
    <t>Ongo</t>
  </si>
  <si>
    <t>Norun</t>
  </si>
  <si>
    <t>Blocked</t>
  </si>
  <si>
    <t>Skip</t>
  </si>
  <si>
    <t>Total TC</t>
  </si>
  <si>
    <t xml:space="preserve">% Exec </t>
  </si>
  <si>
    <t xml:space="preserve">% Success </t>
  </si>
  <si>
    <t>Tiến độ</t>
  </si>
  <si>
    <t>Bug title/Note</t>
  </si>
  <si>
    <t>Tàu dự kiến</t>
  </si>
  <si>
    <t xml:space="preserve">App KHLC </t>
  </si>
  <si>
    <t>Family package</t>
  </si>
  <si>
    <t>Onboarding</t>
  </si>
  <si>
    <t>Late</t>
  </si>
  <si>
    <t xml:space="preserve">Quản lý gia đình </t>
  </si>
  <si>
    <t>Done</t>
  </si>
  <si>
    <t xml:space="preserve">Hành trình </t>
  </si>
  <si>
    <t xml:space="preserve">Ví voucher </t>
  </si>
  <si>
    <t>CMS</t>
  </si>
  <si>
    <t xml:space="preserve"> </t>
  </si>
  <si>
    <t>Migrate gd VAC</t>
  </si>
  <si>
    <t>Total</t>
  </si>
  <si>
    <t>UAT- LC</t>
  </si>
  <si>
    <t>UAT - DS</t>
  </si>
  <si>
    <t>Loyalty</t>
  </si>
  <si>
    <t>Regression Loyalty&amp;Voucher</t>
  </si>
  <si>
    <t>CI - DS</t>
  </si>
  <si>
    <t>No</t>
  </si>
  <si>
    <t>Serivce</t>
  </si>
  <si>
    <t>Feature</t>
  </si>
  <si>
    <t>Scenario</t>
  </si>
  <si>
    <t>Test case name</t>
  </si>
  <si>
    <t>Preconditions</t>
  </si>
  <si>
    <t>Test steps</t>
  </si>
  <si>
    <t>Test data</t>
  </si>
  <si>
    <t>Expected results</t>
  </si>
  <si>
    <t>Priority</t>
  </si>
  <si>
    <t xml:space="preserve">Actual  </t>
  </si>
  <si>
    <t>Status CI</t>
  </si>
  <si>
    <t>Status UAT</t>
  </si>
  <si>
    <t>Build</t>
  </si>
  <si>
    <t>Bug ID</t>
  </si>
  <si>
    <t>Test Date</t>
  </si>
  <si>
    <t>Remarks</t>
  </si>
  <si>
    <t>AI or Not</t>
  </si>
  <si>
    <t xml:space="preserve">Đăng nhập và xác thực thông tin </t>
  </si>
  <si>
    <t>Family Package</t>
  </si>
  <si>
    <t>Đăng nhập và xác thực thông tin</t>
  </si>
  <si>
    <t xml:space="preserve">Truy cập tính năng &lt;Hành trình gia đình&gt; từ &lt;Nhà Thuốc&gt; default app </t>
  </si>
  <si>
    <t> </t>
  </si>
  <si>
    <t>1.  Vào APP NTLC
2. Chọn icon " Hành trình gia đình"</t>
  </si>
  <si>
    <t>Truy cập thành công và điều hướng đến màn hình &lt; giới thiệu chương trình&gt;</t>
  </si>
  <si>
    <t>Truy cập tính năng &lt;Hành trình gia đình&gt; từ &lt;Nhà Thuốc&gt; lite app</t>
  </si>
  <si>
    <t>Truy cập tính năng &lt;Hành trình gia đình&gt; khi chưa đăng nhập</t>
  </si>
  <si>
    <t>Hiển thị popup bạn phải đăng nhập như mô tả ở design trên figma và sau khi đăng nhập thành công điều hướng tới màn hình &lt;giới thiệu chương trình&gt;</t>
  </si>
  <si>
    <t>Giới thiệu chương trình</t>
  </si>
  <si>
    <t>UI/UX màn hình &lt;giới thiệu chương trình&gt;</t>
  </si>
  <si>
    <t>Hiển thị màn hình &lt;giới thiệu chương trình&gt; như mô tả ở design trên figma bao gồm:
- Nội dung chương trình
- Hướng dẫn upload hình ảnh
- Bắt đầu ngay button</t>
  </si>
  <si>
    <t>UI/UX màn hình &lt;Hướng dẫn upload hình ảnh&gt;</t>
  </si>
  <si>
    <t>1.  Vào APP NTLC
2. Chọn icon " Hành trình gia đình"
3. Chọn "hướng dẫn upload hình ảnh"</t>
  </si>
  <si>
    <t>Hiển thị màn hình &lt;Hướng dẫn upload hình ảnh&gt; như mô tả ở design trên figma bao gồm:
- Nội dung hướng dẫn upload hình ảnh
- "Đã hiểu"  button</t>
  </si>
  <si>
    <t>Hiển thị danh sách voucher</t>
  </si>
  <si>
    <t>1.  Vào APP NTLC
2. Chọn icon " Hành trình gia đình"
3. Chọn "Bắt đầu ngay"</t>
  </si>
  <si>
    <t>Hiển thị đúng danh sách voucher</t>
  </si>
  <si>
    <t>Kiểm tra trạng thái tham gia gia đình trường hợp đã tham gia</t>
  </si>
  <si>
    <t>Hiển thị homepage gia đình khách hàng</t>
  </si>
  <si>
    <t>Kiểm tra trạng thái tham gia gia đình trường hợp chưa tham gia</t>
  </si>
  <si>
    <t>Tiếp tục flow onboarding</t>
  </si>
  <si>
    <t>Kiểm tra trạng thái tham gia gia đình trường hợp lỗi hệ thống khi đang kiểm tra</t>
  </si>
  <si>
    <t>1.  Vào APP NTLC
2. Chọn icon " Hành trình gia đình"
3. Lỗi hệ thống</t>
  </si>
  <si>
    <t>Hiển thị thông báo thử lại</t>
  </si>
  <si>
    <t xml:space="preserve">Xác nhận thông tin </t>
  </si>
  <si>
    <t>Nhập thông tin người đang đăng nhập</t>
  </si>
  <si>
    <t>SĐT Hệ thống auto fill và không cho edit</t>
  </si>
  <si>
    <t>1. KH nhập tên, mã định danh của người đang đăng nhập.
2. Chọn "Tiếp tục"</t>
  </si>
  <si>
    <t>Chuyển đến bước tiếp theo &lt;Xác thực gia đình&gt;</t>
  </si>
  <si>
    <t>Không Nhập thông tin người đang đăng nhập</t>
  </si>
  <si>
    <t>1. KH không nhập tên, mã định danh của người đang đăng nhập.
2. Chọn "Tiếp tục"</t>
  </si>
  <si>
    <t>Hệ thống báo lỗi</t>
  </si>
  <si>
    <t>Nhập thông tin người đang đăng nhập trường hợp đã có CCCD</t>
  </si>
  <si>
    <t>field CCCD sẽ autofill và không cho edit</t>
  </si>
  <si>
    <t>1. KH nhập tên của người đang đăng nhập.
2. Chọn "Tiếp tục"</t>
  </si>
  <si>
    <t>Xác thực gia đình</t>
  </si>
  <si>
    <t xml:space="preserve">UI màn hình xác thực </t>
  </si>
  <si>
    <t>Upload giấy tờ hợp lệ</t>
  </si>
  <si>
    <t xml:space="preserve">1. Đăng nhập hệ thống. 
2. Chọn chức năng upload giấy tờ. 
3. Chụp hoặc upload ảnh giấy tờ hợp lệ. 
4. Chờ hệ thống kiểm tra và OCR."
</t>
  </si>
  <si>
    <t xml:space="preserve">Hệ thống trả về danh sách thành viên OCR được và cho phép thêm vào gia đình.
</t>
  </si>
  <si>
    <t xml:space="preserve">Upload giấy tờ sai định dạng
</t>
  </si>
  <si>
    <t xml:space="preserve">"1. Đăng nhập hệ thống. 
2. Chọn chức năng upload giấy tờ. 
3. Upload file định dạng không hợp lệ (ví dụ: PDF, BMP)."
</t>
  </si>
  <si>
    <t xml:space="preserve">Hệ thống báo lỗi định dạng file, yêu cầu upload lại.
</t>
  </si>
  <si>
    <t xml:space="preserve">Upload ảnh giấy tờ bị mờ, che khuất
</t>
  </si>
  <si>
    <t xml:space="preserve">"1. Đăng nhập hệ thống. 
2. Chọn chức năng upload giấy tờ. 
3. Upload ảnh bị mờ/che khuất thông tin."
</t>
  </si>
  <si>
    <t xml:space="preserve">Hệ thống báo lỗi chất lượng ảnh, yêu cầu upload lại.
</t>
  </si>
  <si>
    <t xml:space="preserve">Upload giấy tờ không thuộc danh sách cấu hình
</t>
  </si>
  <si>
    <t xml:space="preserve">"1. Đăng nhập hệ thống. 
2. Chọn chức năng upload giấy tờ. 
3. Upload giấy tờ không hợp lệ (ví dụ: thẻ sinh viên)."
</t>
  </si>
  <si>
    <t xml:space="preserve">Hệ thống không OCR ra kết quả
</t>
  </si>
  <si>
    <t xml:space="preserve">Upload thành công nhưng OCR thiếu thông tin
</t>
  </si>
  <si>
    <t xml:space="preserve">"1. Upload giấy tờ hợp lệ. 
2. Hệ thống OCR nhưng thiếu thông tin thành viên (ví dụ: thiếu số CCCD)."
</t>
  </si>
  <si>
    <t xml:space="preserve">Upload giấy tờ không chứng minh được quan hệ
</t>
  </si>
  <si>
    <t xml:space="preserve">"1. Upload giấy tờ hợp lệ nhưng không chứng minh được quan hệ gia đình. 
2. Hệ thống kiểm tra."
</t>
  </si>
  <si>
    <t xml:space="preserve">Hệ thống báo lỗi không chứng minh được quan hệ, yêu cầu upload lại.
</t>
  </si>
  <si>
    <t xml:space="preserve">Thông tin user đăng nhập không có trong DS OCR
</t>
  </si>
  <si>
    <t xml:space="preserve">"1. Đăng nhập hệ thống. 
2. Upload giấy tờ. 
3. Hệ thống OCR. 
4. Kiểm tra user đăng nhập không có trong danh sách OCR."
</t>
  </si>
  <si>
    <t xml:space="preserve">Chuyển luồng sang nhập tay thông tin user đăng nhập
</t>
  </si>
  <si>
    <t xml:space="preserve">Sửa lại thông tin user đăng nhập và upload lại giấy tờ
</t>
  </si>
  <si>
    <t xml:space="preserve">"1. Upload giấy tờ, OCR không có thông tin user đăng nhập. 2. Người dùng sửa lại CCCD hoặc upload lại giấy tờ. 
3. Hệ thống kiểm tra lại."
</t>
  </si>
  <si>
    <t xml:space="preserve">Nếu CCCD mới có trong DS OCR thì cho phép tạo gia đình, nếu không thì báo lỗi.
</t>
  </si>
  <si>
    <t xml:space="preserve">Chỉnh sửa thông tin OCR ra (họ tên/CCCD) trực tiếp trên giao diện
</t>
  </si>
  <si>
    <t xml:space="preserve">"1. Upload giấy tờ hợp lệ. 
2. Hệ thống trả về danh sách thành viên. 
3. Người dùng cố gắng chỉnh sửa thông tin OCR trên giao diện."
</t>
  </si>
  <si>
    <t xml:space="preserve">Hệ thống không cho phép chỉnh sửa, thông báo chỉ được upload lại hình mới nếu muốn thay đổi thông tin.
</t>
  </si>
  <si>
    <t xml:space="preserve">Upload giấy tờ của thành viên đã thuộc gia đình khác (thành viên active) 
</t>
  </si>
  <si>
    <t xml:space="preserve">"1. Đăng nhập hệ thống. 
2. Upload giấy tờ có thành viên đã thuộc gia đình khác. 
3. Hệ thống kiểm tra."
</t>
  </si>
  <si>
    <t xml:space="preserve">Hệ thống báo lỗi, không cho phép thêm thành viên vào gia đình mới.
</t>
  </si>
  <si>
    <t xml:space="preserve">Upload giấy tờ của thành viên bị inactive của gia đình khác </t>
  </si>
  <si>
    <t xml:space="preserve">OCR sai hoặc thiếu thông tin, người dùng upload lại giấy tờ
</t>
  </si>
  <si>
    <t xml:space="preserve">"1. Upload giấy tờ, OCR sai/thừa/thông tin. 
2. Người dùng upload lại giấy tờ đúng. 
3. Hệ thống kiểm tra lại thông tin."
</t>
  </si>
  <si>
    <t xml:space="preserve">Hệ thống nhận file mới, OCR lại và trả về thông tin chính xác.
</t>
  </si>
  <si>
    <t xml:space="preserve">Upload file có nhiều thành viên hợp lệ
</t>
  </si>
  <si>
    <t xml:space="preserve">"1. Đăng nhập hệ thống. 
2. Upload giấy tờ chứa thông tin nhiều thành viên. 
3. Hệ thống OCR."
</t>
  </si>
  <si>
    <t xml:space="preserve">Hệ thống trả về danh sách đầy đủ các thành viên được nhận dạng.
</t>
  </si>
  <si>
    <t xml:space="preserve">Upload giấy tờ khi user chưa đăng nhập
</t>
  </si>
  <si>
    <t xml:space="preserve">1. Truy cập chức năng upload giấy tờ khi chưa đăng nhập. 2. Thực hiện upload giấy tờ.
</t>
  </si>
  <si>
    <t xml:space="preserve">Hệ thống yêu cầu đăng nhập trước khi cho phép upload giấy tờ.
</t>
  </si>
  <si>
    <t xml:space="preserve">Tên gia đình default đúng
</t>
  </si>
  <si>
    <t xml:space="preserve">"1. Đăng nhập vào APP NTLC 
2. Chọn ""Hành trình gia đình"" 
3. Chọn ""Bắt đầu ngay"" 
4. Nhập thông tin thành viên 
5. Upload ảnh MQH"
</t>
  </si>
  <si>
    <r>
      <rPr>
        <sz val="11"/>
        <color rgb="FF000000"/>
        <rFont val="Calibri"/>
        <scheme val="minor"/>
      </rPr>
      <t xml:space="preserve">Tên gia đình được autofill mặc định: "Gia đình của </t>
    </r>
    <r>
      <rPr>
        <b/>
        <sz val="11"/>
        <color rgb="FF000000"/>
        <rFont val="Calibri"/>
        <scheme val="minor"/>
      </rPr>
      <t>Tên user đăng nhập</t>
    </r>
    <r>
      <rPr>
        <sz val="11"/>
        <color rgb="FF000000"/>
        <rFont val="Calibri"/>
        <scheme val="minor"/>
      </rPr>
      <t xml:space="preserve">"
</t>
    </r>
  </si>
  <si>
    <t xml:space="preserve">Chủ hộ mặc định là user đăng nhập
</t>
  </si>
  <si>
    <t xml:space="preserve">Thành viên đăng nhập lúc đầu sẽ tự động là chủ hộ
</t>
  </si>
  <si>
    <t xml:space="preserve">Chọn lại chủ hộ khác
</t>
  </si>
  <si>
    <t>"1. Đăng nhập vào APP NTLC 
2. Chọn ""Hành trình gia đình"" 
3. Chọn ""Bắt đầu ngay"" 
4. Nhập thông tin thành viên 
5. Upload ảnh MQH"
6. Chọn lại một thành viên bất kỳ khác làm chủ hộ</t>
  </si>
  <si>
    <t xml:space="preserve">Có thể chọn lại chủ hộ khác, chủ hộ mới được cập nhật trong danh sách
</t>
  </si>
  <si>
    <t xml:space="preserve">Bỏ bớt thành viên từ danh sách OCR
</t>
  </si>
  <si>
    <t>"1. Đăng nhập vào APP NTLC 
2. Chọn ""Hành trình gia đình"" 
3. Chọn ""Bắt đầu ngay"" 
4. Nhập thông tin thành viên 
5. Upload ảnh MQH"
6. Bỏ bớt một thành viên trong danh sách OCR</t>
  </si>
  <si>
    <t xml:space="preserve">Thành viên bị bỏ sẽ không có trong danh sách thành viên cuối cùng
</t>
  </si>
  <si>
    <t xml:space="preserve">Autofill thông tin CCCD từ OCR, không cho sửa
</t>
  </si>
  <si>
    <t>"1. Đăng nhập vào APP NTLC 
2. Chọn ""Hành trình gia đình"" 
3. Chọn ""Bắt đầu ngay"" 
4. Nhập thông tin thành viên 
5. Upload ảnh MQH"
6. Kiểm tra trường CCCD của từng thành viên</t>
  </si>
  <si>
    <t xml:space="preserve">Trường CCCD được autofill từ OCR, không cho phép chỉnh sửa trực tiếp
</t>
  </si>
  <si>
    <t xml:space="preserve">Cho phép chỉnh sửa tên thành viên OCR ra
</t>
  </si>
  <si>
    <t>"1. Đăng nhập vào APP NTLC 
2. Chọn ""Hành trình gia đình"" 
3. Chọn ""Bắt đầu ngay"" 
4. Nhập thông tin thành viên 
5. Upload ảnh MQH"
6. Chỉnh sửa tên thành viên trong danh sách OCR</t>
  </si>
  <si>
    <t xml:space="preserve">Có thể chỉnh sửa tên; sau khi lưu, tên mới được lưu xuống DB, không OCR lại tên đó
</t>
  </si>
  <si>
    <t xml:space="preserve">Không OCR lại sau khi sửa tên
</t>
  </si>
  <si>
    <t>"1. Đăng nhập vào APP NTLC 
2. Chọn ""Hành trình gia đình"" 
3. Chọn ""Bắt đầu ngay"" 
4. Nhập thông tin thành viên 
5. Upload ảnh MQH"
6.  Chỉnh sửa tên thành viên, lưu lại</t>
  </si>
  <si>
    <t xml:space="preserve">Hệ thống lưu tên đã chỉnh sửa, không thực hiện OCR lại tên này
</t>
  </si>
  <si>
    <t xml:space="preserve">Bắt buộc nhập SĐT từng thành viên
</t>
  </si>
  <si>
    <t>"1. Đăng nhập vào APP NTLC 
2. Chọn ""Hành trình gia đình"" 
3. Chọn ""Bắt đầu ngay"" 
4. Nhập thông tin thành viên 
5. Upload ảnh MQH"
6.  Để trống trường SĐT của thành viên, bấm lưu</t>
  </si>
  <si>
    <t xml:space="preserve">Hệ thống báo lỗi, bắt buộc nhập SĐT cho từng thành viên
</t>
  </si>
  <si>
    <t xml:space="preserve">Autofill SĐT chủ hộ vào thành viên &lt;12 tuổi
</t>
  </si>
  <si>
    <t>"1. Đăng nhập vào APP NTLC 
2. Chọn ""Hành trình gia đình"" 
3. Chọn ""Bắt đầu ngay"" 
4. Nhập thông tin thành viên 
5. Upload ảnh MQH"
6.  Trong danh sách OCR có thành viên &lt;12 tuổi Bỏ trống SĐT của thành viên này</t>
  </si>
  <si>
    <t xml:space="preserve">Hệ thống tự động điền SĐT chủ hộ vào thành viên &lt;12 tuổi
</t>
  </si>
  <si>
    <t xml:space="preserve">Báo lỗi nếu user đăng nhập không có trong danh sách OCR
</t>
  </si>
  <si>
    <t>"1. Đăng nhập vào APP NTLC 
2. Chọn ""Hành trình gia đình"" 
3. Chọn ""Bắt đầu ngay"" 
4. Nhập thông tin thành viên 
5. Upload ảnh MQH"
6.  Upload ảnh giấy tờ không có thông tin user đăng nhập</t>
  </si>
  <si>
    <t xml:space="preserve">Hệ thống chuyển sang nhập tay thông tin user đăng nhập
</t>
  </si>
  <si>
    <t>Tạo gia đình</t>
  </si>
  <si>
    <t>Family Onboarding</t>
  </si>
  <si>
    <t>Tạo gia đình thành công</t>
  </si>
  <si>
    <t>1. Vào APP NTLC
2: Chọn icon " Hành trình gia đình"
3: Chọn Bắt đầu ngay
4: Nhập thông tin thành viên
5: Upload hình ảnh chứng minh MQH
6: Bấm Tạo gia đình</t>
  </si>
  <si>
    <t xml:space="preserve">Gia đình được tạo thành công
</t>
  </si>
  <si>
    <t>Trùng SĐT giữa các thành viên</t>
  </si>
  <si>
    <t>1. Vào APP NTLC
2: Chọn icon " Hành trình gia đình"
3: Chọn Bắt đầu ngay
4: Nhập thông tin thành viên
5: Nhập 2 thành viên có cùng SDT 
6: Bấm Tạo gia đình</t>
  </si>
  <si>
    <t>Hiển thị thông báo lỗi: "Thông tin thành viên bị trùng" và không cho phép tạo gia đình</t>
  </si>
  <si>
    <t>Trùng SĐT với chủ hộ hoặc trẻ &lt; 12 tuổi</t>
  </si>
  <si>
    <t>1. Vào APP NTLC
2: Chọn icon " Hành trình gia đình"
3: Chọn Bắt đầu ngay
4: Nhập thông tin thành viên
5: nhập SĐT trùng giữa chủ hộ và một thành viên khác là trẻ dưới 12 tuổi
6: Bấm Tạo gia đình</t>
  </si>
  <si>
    <t>Cho phép tiếp tục thao tác, không báo lỗi về SĐT</t>
  </si>
  <si>
    <t>trẻ &lt;12 tuổi luôn luôn fill số chủ hộ</t>
  </si>
  <si>
    <t>Số lượng thành viên dưới 3</t>
  </si>
  <si>
    <t>1. Vào APP NTLC
2: Chọn icon " Hành trình gia đình"
3: Chọn Bắt đầu ngay
4: Nhập thông tin thành viên
5: Nhập thông tin chỉ 2 thành viên
6: Bấm Tạo gia đình</t>
  </si>
  <si>
    <t>Hiển thị thông báo thêm thành viên để tạo và không cho phép tạo gia đình</t>
  </si>
  <si>
    <t>Số lượng thành viên bằng hoặc trên 6</t>
  </si>
  <si>
    <t>1. Vào APP NTLC
2: Chọn icon " Hành trình gia đình"
3: Chọn Bắt đầu ngay
4: Nhập thông tin thành viên
5: Nhập thông tin 6 thành viên trở lên
6: Bấm Tạo gia đình</t>
  </si>
  <si>
    <t>Hiển thị thông báo lỗi: "Số lượng thành viên trong gia đình không được vượt quá 6" và không cho phép tạo gia đình</t>
  </si>
  <si>
    <t>Sai mã lỗi</t>
  </si>
  <si>
    <t>Thành viên đã thuộc gia đình khác</t>
  </si>
  <si>
    <t>1. Vào APP NTLC
2: Chọn icon " Hành trình gia đình"
3: Chọn Bắt đầu ngay
4: Nhập thông tin thành viên
5: Nhập thông tin một thành viên đã thuộc gia đình khác trong hệ thống
6: Bấm Tạo gia đình</t>
  </si>
  <si>
    <t>Hiển thị thông báo lỗi: "Thành viên đã thuộc gia đình khác" và không cho phép tạo gia đình</t>
  </si>
  <si>
    <t xml:space="preserve">User đăng nhập không tồn tại trong danh sách OCR - do ảnh không có thông tin chủ  hộ </t>
  </si>
  <si>
    <t>1. Vào APP NTLC
2: Chọn icon " Hành trình gia đình"
3: Chọn Bắt đầu ngay
4: Nhập thông tin thành viên
5: Nhập thông tin user đăng nhập không nằm trong danh sách OCR
6: Bấm Tạo gia đình</t>
  </si>
  <si>
    <t>Hiển thị thông báo lỗi: "Thành viên này không có trong giấy tờ xác thực. Cập nhật lại số CCCD hoặc thêm ảnh giấy tờ xác thực lại" và không cho phép tạo gia đình
Chuyển sang màn hình nhập thủ công để nhập lại thông tin chủ hộ</t>
  </si>
  <si>
    <t xml:space="preserve">User đăng nhập không tồn tại trong danh sách OCR - do OCR không thành công </t>
  </si>
  <si>
    <t xml:space="preserve">Chuyển sang nhập thủ công </t>
  </si>
  <si>
    <t>User đăng nhập không tồn tại trong danh sách OCR - do ban đầu nhập sai số CCCD của user</t>
  </si>
  <si>
    <t xml:space="preserve">Nhập thủ công thông tin user đăng nhập dưới 12 tuổi, tạo gia đình </t>
  </si>
  <si>
    <t xml:space="preserve">Nhập thủ công thông tin user đăng nhập trùng với thành viên có sẵn </t>
  </si>
  <si>
    <t>Báo lỗi "Thông tin thành viên bị trùng"</t>
  </si>
  <si>
    <t xml:space="preserve">Nhập thủ công thông tin user đăng nhập với thông tin thành viên ở gia đình khác </t>
  </si>
  <si>
    <t>Báo sai lỗi</t>
  </si>
  <si>
    <t>Không upload hình ảnh MQH</t>
  </si>
  <si>
    <t>1. Vào APP NTLC
2: Chọn icon " Hành trình gia đình"
3: Chọn Bắt đầu ngay
4: Nhập thông tin thành viên
5: Không Upload hình ảnh chứng minh MQH
6: Bấm Tạo gia đình</t>
  </si>
  <si>
    <t>Hiển thị thông báo lỗi: "Chưa upload hình ảnh chứng minh quan hệ" và không cho phép tạo gia đình</t>
  </si>
  <si>
    <t>Nhập thủ công user đăng nhập - cho phép sửa tên và số CCCD</t>
  </si>
  <si>
    <t>Nhập thủ công user đăng nhập - không cho phép sửa SĐT</t>
  </si>
  <si>
    <t>Upload hình ảnh VNeID</t>
  </si>
  <si>
    <t>Upload lại hình ảnh xác thực khi nhập sai CCCD của user đăng nhập</t>
  </si>
  <si>
    <t>Upload hình ảnh giấy khai sinh</t>
  </si>
  <si>
    <t>OCR dư người đi khai sinh và sai tên</t>
  </si>
  <si>
    <t>Upload hình ảnh giấy ĐKKH</t>
  </si>
  <si>
    <t>Bỏ qua case CMND 9 số</t>
  </si>
  <si>
    <t xml:space="preserve">Upload nhiều ảnh trong cùng 1 lần </t>
  </si>
  <si>
    <t>Upload hình ảnh MQH không hợp lệ</t>
  </si>
  <si>
    <t>1. Vào APP NTLC
2: Chọn icon " Hành trình gia đình"
3: Chọn Bắt đầu ngay
4: Nhập thông tin thành viên
5: Upload hình ảnh chứng minh MQH không hợp lệ
6: Bấm Tạo gia đình</t>
  </si>
  <si>
    <t>Hiển thị thông báo lỗi: "Hình ảnh chứng minh quan hệ không hợp lệ" và không cho phép tạo gia đình</t>
  </si>
  <si>
    <t xml:space="preserve">Tạo gia đình với SDT cũ đã tồn tại ở LC </t>
  </si>
  <si>
    <t>Phải migrate</t>
  </si>
  <si>
    <t xml:space="preserve">Tạo gia đình với SDT mới chưa từng có ở LC </t>
  </si>
  <si>
    <t xml:space="preserve">Tự động sync v1 v2 </t>
  </si>
  <si>
    <t>Thông tin thành viên thiếu trường bắt buộc</t>
  </si>
  <si>
    <t>1. Vào APP NTLC
2: Chọn icon " Hành trình gia đình"
3: Chọn Bắt đầu ngay
4: Nhập thông tin thành viên bỏ trống trường bắt buộc như họ tên, SĐT, quan hệ
5: Upload hình ảnh chứng minh MQH 
6: Bấm Tạo gia đình</t>
  </si>
  <si>
    <t>Hiển thị thông báo lỗi yêu cầu nhập đủ thông tin bắt buộc và không cho phép tạo gia đình</t>
  </si>
  <si>
    <t>Gia đình chỉ active khi hoàn thành khảo sát</t>
  </si>
  <si>
    <t>1. Vào APP NTLC
2: Chọn icon "" Hành trình gia đình""
3: Chọn Bắt đầu ngay
4: Nhập thông tin thành viên
5: Upload hình ảnh chứng minh MQH
6: Bấm Tạo gia đình"
7: Trả lời xong câu hỏi khảo sát</t>
  </si>
  <si>
    <t>Gia đình được kích hoạt (active) sau khi trả lời xong tất cả các câu hỏi khảo sát</t>
  </si>
  <si>
    <t xml:space="preserve">case này sai, gia đình vẫn đc tạo khi chưa tl khảo sát </t>
  </si>
  <si>
    <t>Chưa trả lời hết khảo sát, gia đình chưa active</t>
  </si>
  <si>
    <t>1. Vào APP NTLC
2: Chọn icon "" Hành trình gia đình""
3: Chọn Bắt đầu ngay
4: Nhập thông tin thành viên
5: Upload hình ảnh chứng minh MQH
6: Bấm Tạo gia đình"
7: Trả lời một phần câu hỏi khảo sát, chưa trả lời hết</t>
  </si>
  <si>
    <t>Gia đình chưa được kích hoạt, trạng thái vẫn là “chưa active”</t>
  </si>
  <si>
    <t>Thoát app khi đang làm khảo sát</t>
  </si>
  <si>
    <t>1. Vào APP NTLC
2: Chọn icon "" Hành trình gia đình""
3: Chọn Bắt đầu ngay
4: Nhập thông tin thành viên
5: Upload hình ảnh chứng minh MQH
6: Bấm Tạo gia đình"
7: Trả lời một phần câu hỏi khảo sát, chưa trả lời hết và thoát app</t>
  </si>
  <si>
    <t>Hiện lại bộ câu hỏi khảo sát</t>
  </si>
  <si>
    <t>Quay lại app và hoàn thành khảo sát</t>
  </si>
  <si>
    <t>1. Vào APP NTLC
2: Chọn icon "" Hành trình gia đình""
3: Chọn Bắt đầu ngay
4: Nhập thông tin thành viên
5: Upload hình ảnh chứng minh MQH
6: Bấm Tạo gia đình"
7: Trả lời một phần câu hỏi khảo sát, chưa trả lời hết và thoát app ,mở lại app, tiếp tục trả lời đến hết tất cả câu hỏi khảo sát</t>
  </si>
  <si>
    <t>Sau khi trả lời xong tất cả câu hỏi khảo sát được chuyển sang page Tổng quan gia đình</t>
  </si>
  <si>
    <t>Bỏ qua khảo sát, vào lại app</t>
  </si>
  <si>
    <t>1. Vào APP NTLC
2: Chọn icon "" Hành trình gia đình""
3: Chọn Bắt đầu ngay
4: Nhập thông tin thành viên
5: Upload hình ảnh chứng minh MQH
6: Bấm Tạo gia đình"
7: Phần khảo sát thì bỏ qua, thoát app, vào lại app</t>
  </si>
  <si>
    <t>App vẫn hiển thị câu hỏi khảo sát, không cho bỏ qua, bắt buộc phải thực hiện đến khi hoàn thành</t>
  </si>
  <si>
    <t>Đã trả lời đủ khảo sát, vào lại app</t>
  </si>
  <si>
    <t>1. Vào APP NTLC
2: Chọn icon "" Hành trình gia đình""
3: Chọn Bắt đầu ngay
4: Nhập thông tin thành viên
5: Upload hình ảnh chứng minh MQH
6: Bấm Tạo gia đình"
7: Trả lời hết khảo sát, thoát app, vào lại app</t>
  </si>
  <si>
    <t>Không còn hiển thị câu hỏi khảo sát, gia đình đã ở trạng thái “active” và có thể sử dụng các chức năng tiếp theo</t>
  </si>
  <si>
    <t>Không trả lời bất kỳ câu hỏi khảo sát nào, thoát app</t>
  </si>
  <si>
    <t>1. Vào APP NTLC
2: Chọn icon "" Hành trình gia đình""
3: Chọn Bắt đầu ngay
4: Nhập thông tin thành viên
5: Upload hình ảnh chứng minh MQH
6: Bấm Tạo gia đình"
7: Không trả lời câu hỏi nào, thoát app, vào lại app</t>
  </si>
  <si>
    <t>App hiển thị lại câu hỏi khảo sát từ đầu, không cho phép sử dụng tính năng khác cho đến khi hoàn thành khảo sát</t>
  </si>
  <si>
    <t xml:space="preserve">Verify data bộ câu câu hỏi khảo sát </t>
  </si>
  <si>
    <t>Data đúng, đủ giá trị như tài liệu yêu cầu</t>
  </si>
  <si>
    <t>Check lưu thông tin câu trả lời (check api)</t>
  </si>
  <si>
    <t>Tạo gia đình thành công và hiển thị voucher</t>
  </si>
  <si>
    <t xml:space="preserve">1. Vào APP NTLC
2: Chọn icon "" Hành trình gia đình""
3: Chọn Bắt đầu ngay
4: Nhập thông tin thành viên
5: Upload hình ảnh chứng minh MQH
6: Bấm Tạo gia đình
7: Trả lời xong câu hỏi khảo sát"
</t>
  </si>
  <si>
    <t>Hiển thị danh sách voucher dành cho gia đình vừa tạo thành công</t>
  </si>
  <si>
    <t xml:space="preserve">Homepage </t>
  </si>
  <si>
    <t>Homepage</t>
  </si>
  <si>
    <t>Hiển thị homepage sau khi tạo gia đình thành công</t>
  </si>
  <si>
    <t>Hiển thị màn hình homepage của app sau khi tạo gia đình thành công</t>
  </si>
  <si>
    <t>Không hiển thị voucher nếu chưa hoàn thành khảo sát</t>
  </si>
  <si>
    <t xml:space="preserve">1. Vào APP NTLC
2: Chọn icon "" Hành trình gia đình""
3: Chọn Bắt đầu ngay
4: Nhập thông tin thành viên
5: Upload hình ảnh chứng minh MQH
6: Bấm Tạo gia đình
7: Chưa Trả lời xong câu hỏi khảo sát"
</t>
  </si>
  <si>
    <t>Không nhận được voucher, bắt phải hoàn thành khảo sát</t>
  </si>
  <si>
    <t>Hiển thị homepage, không trùng voucher</t>
  </si>
  <si>
    <t>1. Vào APP NTLC
2: Chọn icon "" Hành trình gia đình""
3: Chọn Bắt đầu ngay
4: Nhập thông tin thành viên
5: Upload hình ảnh chứng minh MQH
6: Bấm Tạo gia đình
7: Trả lời xong câu hỏi khảo sát"
8: Tạo nhiều lần với các gia đình khác nhau</t>
  </si>
  <si>
    <t>Mỗi gia đình thành công sẽ hiển thị danh sách voucher , homepage đúng</t>
  </si>
  <si>
    <t>Hiển thị đúng tên gia đình</t>
  </si>
  <si>
    <t>Tên gia đình trên homepage đúng với tên đã nhập khi tạo gia đình</t>
  </si>
  <si>
    <t>Hiển thị đúng số lượng thành viên</t>
  </si>
  <si>
    <t>Số lượng thành viên hiển thị đúng với số lượng đã nhập khi tạo gia đình</t>
  </si>
  <si>
    <t xml:space="preserve">Xóa thành viên chưa có chi tiêu  - check lại số thành viên ở màn tổng quan /nhiệm vụ </t>
  </si>
  <si>
    <t xml:space="preserve">Xóa thành viên đã có chi tiêu  - check lại số thành viên ở màn tổng quan /nhiệm vụ </t>
  </si>
  <si>
    <t xml:space="preserve">Vẫn giữ nguyên số thành viên </t>
  </si>
  <si>
    <t>Hiển thị avatar từng thành viên</t>
  </si>
  <si>
    <t xml:space="preserve">Hiển thị ảnh default - sau khi thành viên update ava thì hiện đúng ava </t>
  </si>
  <si>
    <t xml:space="preserve">đang block luồng up ava </t>
  </si>
  <si>
    <t>Thanh progress nhiệm vụ hiển thị đúng</t>
  </si>
  <si>
    <t>Thực hiện một số nhiệm vụ trên app, vào lại homepage</t>
  </si>
  <si>
    <t>Thanh progress hiển thị đúng tỷ lệ phần trăm nhiệm vụ đã hoàn thành</t>
  </si>
  <si>
    <t>Hiển thị đúng quà tặng của đảo kế tiếp</t>
  </si>
  <si>
    <t>Sau khi hoàn thành một số nhiệm vụ, vào homepage và kiểm tra mục quà tặng của đảo kế tiếp</t>
  </si>
  <si>
    <t>Danh sách quà tặng của đảo kế tiếp hiển thị đúng với dữ liệu hệ thống</t>
  </si>
  <si>
    <t>Hiển thị đúng danh sách nhiệm vụ đảo kế tiếp</t>
  </si>
  <si>
    <t>Vào homepage, kiểm tra mục nhiệm vụ của đảo kế tiếp</t>
  </si>
  <si>
    <t>Danh sách nhiệm vụ của đảo kế tiếp hiển thị đúng với hệ thống</t>
  </si>
  <si>
    <t>Hoàn thành đc 1/2 nhiệm vụ (đủ số tiền hoặc đủ thành viên chi tiêu)</t>
  </si>
  <si>
    <t xml:space="preserve">Số tiền chi tiêu và số tiền còn lại hiển thị đúng qua từng chặng </t>
  </si>
  <si>
    <t xml:space="preserve">Chưa hoàn thành nhiệm vụ, có 1 thành viên chi tiêu </t>
  </si>
  <si>
    <t>Tiến trình Đảo A tới Đảo B hiển thị đúng (chưa đạt, đạt 1 nửa, hoàn thành)</t>
  </si>
  <si>
    <t>Gợi ý tăng tốc chi tiêu: Hiển thị 5 sản phẩm theo rule</t>
  </si>
  <si>
    <t xml:space="preserve">Vào khi chưa có chi tiêu </t>
  </si>
  <si>
    <t xml:space="preserve">Mới vào auto random 5 sp </t>
  </si>
  <si>
    <t xml:space="preserve">Đơn mua sản phẩm thuốc/ k phải ngành tpcn thì k lên gợi ý chi tiêu </t>
  </si>
  <si>
    <t xml:space="preserve">Sản phẩm hiển thị đúng giá gốc, giá giảm nếu có, đơn vị tính, tên sản phẩm </t>
  </si>
  <si>
    <t xml:space="preserve">Đơn mua nhiều sp khác nhau và đều thỏa rule </t>
  </si>
  <si>
    <t xml:space="preserve">Có nhiều đơn mua các sản phẩm khác nhau đều thỏa rule </t>
  </si>
  <si>
    <t>Đơn quá 30 ngày có sp thỏa rule</t>
  </si>
  <si>
    <t>Sản phẩm thỏa mãn có tồn toàn quốc dưới 30 level 1</t>
  </si>
  <si>
    <t xml:space="preserve">Không hiển thị </t>
  </si>
  <si>
    <t>Đơn mua sp level 2 thỏa mãn có tồn toàn quốc dưới 30 level 1 (đi mua hết những sp đang hiện)</t>
  </si>
  <si>
    <t xml:space="preserve">Loại sp có quantity_avai nhỏ hơn 30 ra, thêm sp khác vào cho đủ 5 </t>
  </si>
  <si>
    <t xml:space="preserve">Sản phẩm thỏa mãn nhưng không có displaycode = 1 </t>
  </si>
  <si>
    <t>Random SP khi không đủ 5 SP</t>
  </si>
  <si>
    <t>Nếu không đủ 5 SP thỏa mãn, chọn ngẫu nhiên các SP theo các khoảng giá: 0-100k, 100k-500k, &gt;500k</t>
  </si>
  <si>
    <t xml:space="preserve">chưa làm </t>
  </si>
  <si>
    <t xml:space="preserve">Gần đạt nhiệm vụ, mua sp thỏa mãn nhưng có giá trị lớn hơn mức chênh lệch để đạt mốc </t>
  </si>
  <si>
    <t xml:space="preserve">Không gợi ý </t>
  </si>
  <si>
    <t xml:space="preserve">Gần đạt mốc, check sp random gợi ý </t>
  </si>
  <si>
    <t xml:space="preserve">Tiệm cận khoảng đạt mốc </t>
  </si>
  <si>
    <t xml:space="preserve">2 thành viên mua 2 đơn có sp khác nhau, và gia đình chưa có đủ sp gợi ý thỏa </t>
  </si>
  <si>
    <t xml:space="preserve">Hiển thị sp gợi ý chi tiêu theo gia đình, nên phải hiển thị cả 2 </t>
  </si>
  <si>
    <t xml:space="preserve">Hiện đủ 5 sp trong đó có sp k có kmai, mua thêm 1 đơn có sp kmai </t>
  </si>
  <si>
    <t xml:space="preserve">Loại sp giá gốc, hiện sp giá kmai </t>
  </si>
  <si>
    <t>Vào SDT các thành viên check phần sp gợi ý chi tiêu</t>
  </si>
  <si>
    <t xml:space="preserve">Gia đình đều thấy chung sản phẩm </t>
  </si>
  <si>
    <t>Gợi ý gói tiêm vac</t>
  </si>
  <si>
    <t xml:space="preserve">BA confirm làm sau </t>
  </si>
  <si>
    <t>Cập nhật thông tin thành viên và kiểm tra homepage</t>
  </si>
  <si>
    <t>Thay đổi thông tin thành viên (nếu cho phép), vào lại homepage</t>
  </si>
  <si>
    <t>Thông tin thành viên (tên, avatar) được cập nhật đúng trên homepage</t>
  </si>
  <si>
    <t>còn ava</t>
  </si>
  <si>
    <t>Thực hiện nhiệm vụ mới, kiểm tra progress và nhiệm vụ</t>
  </si>
  <si>
    <t>Thực hiện thêm một nhiệm vụ, vào lại homepage</t>
  </si>
  <si>
    <t>Thanh progress cập nhật đúng, danh sách nhiệm vụ đảo kế tiếp cập nhật trạng thái hoàn thành nhiệm vụ vừa thực hiện</t>
  </si>
  <si>
    <t>Kiểm tra khi chưa hoàn thành nhiệm vụ nào</t>
  </si>
  <si>
    <t>Tạo gia đình mới, vào homepage khi chưa làm nhiệm vụ nào</t>
  </si>
  <si>
    <t>Thanh progress ở mức 0%, danh sách nhiệm vụ đảo kế tiếp hiển thị đầy đủ</t>
  </si>
  <si>
    <t xml:space="preserve">Kiểm tra có suggest sản phẩm tặng khi mua sản phẩm chính không </t>
  </si>
  <si>
    <t>Mua sản phẩm chính có tặng theo sản phẩm kèm sku 00043229</t>
  </si>
  <si>
    <t xml:space="preserve">Api chỉ suggest sản phẩm chính </t>
  </si>
  <si>
    <t xml:space="preserve">Quà tặng đảo khi mới đạt chặng 1 </t>
  </si>
  <si>
    <t xml:space="preserve">Hiển thị quà đảo 2 </t>
  </si>
  <si>
    <t xml:space="preserve">Quà tặng đảo khi đạt đảo 2 </t>
  </si>
  <si>
    <t>Hiển thị quà đảo 3</t>
  </si>
  <si>
    <t xml:space="preserve">Quà tặng đảo khi đạt đảo 3 </t>
  </si>
  <si>
    <t>Hiển thị quà đảo 4</t>
  </si>
  <si>
    <t xml:space="preserve">Quà tặng đảo khi đạt đảo 4 </t>
  </si>
  <si>
    <t>Hiển thị quà đảo 5</t>
  </si>
  <si>
    <t xml:space="preserve">Quà tặng đảo khi đạt đảo 5 </t>
  </si>
  <si>
    <t>Hiển thị quà đảo 6</t>
  </si>
  <si>
    <t>Quà tặng đảo khi đạt đảo 6</t>
  </si>
  <si>
    <t>Hiển thị quà đảo 7</t>
  </si>
  <si>
    <t xml:space="preserve">Quà tặng đảo khi đạt đảo 7 </t>
  </si>
  <si>
    <t>??</t>
  </si>
  <si>
    <t>STT</t>
  </si>
  <si>
    <t xml:space="preserve">Checklist </t>
  </si>
  <si>
    <t xml:space="preserve">PIC </t>
  </si>
  <si>
    <t>Status/Mã đơn</t>
  </si>
  <si>
    <t xml:space="preserve">SDT pilot </t>
  </si>
  <si>
    <t>SĐT: </t>
  </si>
  <si>
    <t>VAC</t>
  </si>
  <si>
    <t xml:space="preserve">Thông tin </t>
  </si>
  <si>
    <t xml:space="preserve">Đơn cũ </t>
  </si>
  <si>
    <t xml:space="preserve">Mã đơn </t>
  </si>
  <si>
    <t>Status</t>
  </si>
  <si>
    <t xml:space="preserve">Đảm bảo UI tất cả flow đúng đủ trên app KHLC </t>
  </si>
  <si>
    <t>AnhLQD2</t>
  </si>
  <si>
    <t>lynh16@fpt.com</t>
  </si>
  <si>
    <t xml:space="preserve">Ly thử Giấy khai sinh + kết hôn </t>
  </si>
  <si>
    <t xml:space="preserve">Đơn vừa đổi quà vừa pmh từ rsa ecom tại nhà đẩy  -build xong hủy đơn </t>
  </si>
  <si>
    <t>LyNH16 1 quà, 2000đ</t>
  </si>
  <si>
    <t>80046475731773934186473</t>
  </si>
  <si>
    <t>Chi tiêu các chặng</t>
  </si>
  <si>
    <t>LanTTP</t>
  </si>
  <si>
    <t xml:space="preserve">Đơn đổi pmh RSA ECOM tại shop - build xong hủy cọc </t>
  </si>
  <si>
    <t>LyNH16</t>
  </si>
  <si>
    <t>80046857601773934270838</t>
  </si>
  <si>
    <t xml:space="preserve">Tạo gia đình migrate - case đủ thông tin </t>
  </si>
  <si>
    <t>KhangLD10</t>
  </si>
  <si>
    <t xml:space="preserve">Đơn CTV chưa đẩy, đổi pmh tại shop - sau build đẩy đi hoàn tất - trả hàng </t>
  </si>
  <si>
    <t>KhoaLNT</t>
  </si>
  <si>
    <t>80046019741773933425536</t>
  </si>
  <si>
    <t>mất PMH ở màn PTTT</t>
  </si>
  <si>
    <t xml:space="preserve">Tạo gia đình migrate - case thiếu thông tin </t>
  </si>
  <si>
    <t>anhlqd2@fpt.com</t>
  </si>
  <si>
    <t xml:space="preserve">Đơn CTV đổi quà + đổi pmh đã đẩy nhận tại shop - sau build đi hoàn tất - trả hàng </t>
  </si>
  <si>
    <t>80046481681773933522492</t>
  </si>
  <si>
    <t>hoàn tất đơn ok trả hàng ok</t>
  </si>
  <si>
    <t xml:space="preserve">Tạo gia đình - đi sử dụng voucher chặng 1,2,3 + loyalty - RSA ECOM </t>
  </si>
  <si>
    <t>khangld10@fpt.com</t>
  </si>
  <si>
    <t xml:space="preserve">Đơn cọc RSA đổi quà - build xong hủy cọc </t>
  </si>
  <si>
    <t xml:space="preserve">LanTTP lấy số Sơn </t>
  </si>
  <si>
    <t>80046015291773932643864</t>
  </si>
  <si>
    <t xml:space="preserve">OK có hoàn </t>
  </si>
  <si>
    <t>Tạo gia đình - đi sử dụng voucher chặng 1,2,3 + loyalty - CTV</t>
  </si>
  <si>
    <t>khoalnt@fpt.com</t>
  </si>
  <si>
    <t>a Khoa xài DKKH</t>
  </si>
  <si>
    <t xml:space="preserve">Đơn RSA tạo sẵn đổi pmh k hoàn tất   - build xong hủy đơn </t>
  </si>
  <si>
    <t>80046894381773934652325</t>
  </si>
  <si>
    <t xml:space="preserve">Tạo gia đình - đi sử dụng voucher chặng 1,2,3 + loyalty - RSA </t>
  </si>
  <si>
    <t>lannt33@fpt.com</t>
  </si>
  <si>
    <t>xài VNEID</t>
  </si>
  <si>
    <t xml:space="preserve">Đơn CTV hoàn tất giao tại nhà đổi pmh - sau build đi giao hàng check cộng điểm </t>
  </si>
  <si>
    <t>LanTTP lấy số a Tòn</t>
  </si>
  <si>
    <t>80046200871773933846936</t>
  </si>
  <si>
    <t xml:space="preserve">Tạo gia đình - đi sử dụng voucher chặng 1,2,3 + loyalty- mRSA </t>
  </si>
  <si>
    <t>LanNT33</t>
  </si>
  <si>
    <t xml:space="preserve">lanttp@fpt.com </t>
  </si>
  <si>
    <t xml:space="preserve">Có gd VAC </t>
  </si>
  <si>
    <t xml:space="preserve">Đủ đúng thông tin </t>
  </si>
  <si>
    <t xml:space="preserve">Đơn RSA đổi pmh, giao tại nhà, hoàn tất, sau build đi giao hàng, đơn trên 300k </t>
  </si>
  <si>
    <t>80046811371773932947795</t>
  </si>
  <si>
    <t xml:space="preserve">Voucher 2 chuỗi </t>
  </si>
  <si>
    <t>Voucher vip</t>
  </si>
  <si>
    <t>Các cơ cấu kmai mix (sp tặng pmh, sp tặng sp, giảm giá, bill)</t>
  </si>
  <si>
    <t>80046177351773934405683</t>
  </si>
  <si>
    <t xml:space="preserve">Hoàn tất đơn tặng MUD khai trương </t>
  </si>
  <si>
    <t>done</t>
  </si>
  <si>
    <t>NganLX1</t>
  </si>
  <si>
    <t>80046050541773934502504</t>
  </si>
  <si>
    <t>QuynhHTN12</t>
  </si>
  <si>
    <t xml:space="preserve">Đơn CTV chưa đẩy, đổi pmh tại nhà - sau build đẩy đi hoàn tất - trả hàng </t>
  </si>
  <si>
    <t>80046379841773933621978</t>
  </si>
  <si>
    <t>Vittm@fpt.com</t>
  </si>
  <si>
    <t>80046887301773933682369</t>
  </si>
  <si>
    <t>80046226301773932736873</t>
  </si>
  <si>
    <t>có hoàn</t>
  </si>
  <si>
    <t>hannn7@fpt.com</t>
  </si>
  <si>
    <t>80046110301773934723436</t>
  </si>
  <si>
    <t>Đơn CTV hoàn tất giao tại nhà đổi pmh - sau build hủy nvc trả hàng</t>
  </si>
  <si>
    <t>80046815201773933692746</t>
  </si>
  <si>
    <t xml:space="preserve">Đơn RSA đổi quà, giao tại nhà, hoàn tất, sau build đi giao hàng, đơn trên 300k </t>
  </si>
  <si>
    <t>80046610961773935163207</t>
  </si>
  <si>
    <t>chiltx@fpt.com</t>
  </si>
  <si>
    <t>thanhnx7@fpt.com</t>
  </si>
  <si>
    <t>haonn3@fpt.com</t>
  </si>
  <si>
    <t>toanlbk@fpt.com</t>
  </si>
  <si>
    <t>hoangdm20@fpt.com</t>
  </si>
  <si>
    <t xml:space="preserve">Regression </t>
  </si>
  <si>
    <t xml:space="preserve">Auto </t>
  </si>
  <si>
    <t>SDT</t>
  </si>
  <si>
    <t>PIC</t>
  </si>
  <si>
    <t>API lấy customerid</t>
  </si>
  <si>
    <t>http://ci-customer-identity-application-v2.lc.frt.local/api/v1/internal/customers/identities?identifierType=contact&amp;identifierValue=0945303971</t>
  </si>
  <si>
    <t>Note</t>
  </si>
  <si>
    <t>0353734466</t>
  </si>
  <si>
    <t xml:space="preserve">Swagger lấy thông tin gia đình, xóa thành viên, xóa gia đình </t>
  </si>
  <si>
    <t>http://ci-family-core.lc.frt.local/swagger/index.html</t>
  </si>
  <si>
    <t>0972675947</t>
  </si>
  <si>
    <t>curl -X 'GET' \
  'http://ci-family-core.lc.frt.local/api/v1/families/customerId/3a03bdb2-ce9a-6cee-698c-3a1659a01a03' \
  -H 'accept: text/plain' \
  -H 'X-Requested-With: XMLHttpRequest'</t>
  </si>
  <si>
    <t>0987586153</t>
  </si>
  <si>
    <t xml:space="preserve">API xóa thành viên </t>
  </si>
  <si>
    <t>0918483287</t>
  </si>
  <si>
    <t>VITTM</t>
  </si>
  <si>
    <t>0971214034</t>
  </si>
  <si>
    <t>0938092781</t>
  </si>
  <si>
    <t xml:space="preserve">API xóa familyid </t>
  </si>
  <si>
    <t>0983939492</t>
  </si>
  <si>
    <t>Lynh16</t>
  </si>
  <si>
    <t>0978107981</t>
  </si>
  <si>
    <t>0945303971</t>
  </si>
  <si>
    <t>Khangld10</t>
  </si>
  <si>
    <t xml:space="preserve">API lấy điểm fsell hết hạn </t>
  </si>
  <si>
    <t>curl -X 'GET' \
  'http://ci-fpt-loyalty-app-api-lc.frt.local/api/loyalty/point/expiry?CustomerIds=6F06555F-3190-AD28-D541-3A1CE4E7A5CC&amp;TimeRange=6' \
  -H 'accept: text/plain' \
  -H 'X-Requested-With: XMLHttpRequest'</t>
  </si>
  <si>
    <t>0358597111</t>
  </si>
  <si>
    <t>http://ci-fpt-loyalty-app-api-lc.frt.local/swagger/index.html</t>
  </si>
  <si>
    <t>Đang tới đảo 6</t>
  </si>
  <si>
    <t>0798973058</t>
  </si>
  <si>
    <t>0867677071</t>
  </si>
  <si>
    <t>DUYDT30</t>
  </si>
  <si>
    <t>Thông tin DB loyalty CI</t>
  </si>
  <si>
    <t>10.201.132.6
FPT-Tenant-Loyalty
user_loyalty_v2
2akxgRYJbTwhsm2Q6UPB</t>
  </si>
  <si>
    <t>0908856258</t>
  </si>
  <si>
    <t>0939990360</t>
  </si>
  <si>
    <t>0939999369</t>
  </si>
  <si>
    <t xml:space="preserve">Các bước insert điểm </t>
  </si>
  <si>
    <t xml:space="preserve">Get transaction - chọn transaction muốn update ngày hết hạn - Update - Get bảng 6T check data trước - Xóa - Insert - Get lại bảng 6T xem lại data đã vào chưa - Xóa key redis </t>
  </si>
  <si>
    <t>0835089254</t>
  </si>
  <si>
    <t xml:space="preserve">Copy đoạn này vào note đọc </t>
  </si>
  <si>
    <t>ĐỐI VỚI SDT CÓ GIAO DỊCH TRƯỚC ĐÓ 
(NẾU CHƯA CÓ THÌ ĐI MUA HÀNG Ở RSA HOẶC ĐI TIÊU HẾT RỒI ĐI MUA LẠI TỪ ĐẦU CHO DỄ)
---------get những transaction tích điểm của SDT 
select lower(Id), * from Transactions
where CustomerId = '9e49ccd2-8c7f-b901-2ce4-3a1e375d29bf' and TransactionType = 'Add' and ActualPoint &lt;&gt; UsedPoint
sau đó copy hết những transactionid xong vào api này update ngày hết hạn mong muốn (vì vậy nên nếu sdt có quá nhiều transaction thì đi tiêu cho hết rồi mua 1 đơn lại)
curl -X 'PUT' \
'http://ci-fpt-loyalty-consumer-api.frt.local/api/common/update-transaction-expire-time' \
-H 'accept: /' \
-H 'Content-Type: application/json' \
-H 'X-Requested-With: XMLHttpRequest' \
-d '{
"transactionIds": [
"53d7c233-13b9-4478-9dd9-02a4b18ae558",
"a9495750-a156-49b5-bee5-0d04daedbf3b",
"970dca3a-8551-460e-adfb-286a85bbc85d",
"e43b55f9-dca1-4465-8e7b-38bb594c1b2e"
],
"expireTime": "2026-03-31"
}'
---- Trong đó expireTime là thời gian hết hạn mong muốn 
-----------sau đó delete cái bảng "điểm hết hạn 6t" (để đảm bảo data sau khi insert là data mình update)
delete PointExpirySummary where CustomerId = '9e49ccd2-8c7f-b901-2ce4-3a1e375d29bf'
-------rồi insert lại bằng câu sau (thay customerid)
insert into PointExpirySummary (TenantCode, CustomerId, ExpiryMonth, TotalPoints, CreationTime, LastModificationTime)
select
TenantCode,
CustomerId,
cast(format(ActualExpiredDate, 'yyyyMM') as int) as 'ExpiryMonth',
(sum(ActualPoint) - sum(UsedPoint))              as 'TotalPoints',
getdate(),
getdate()
from Transactions
where IsExpired = 0
and TransactionType = 'Add' and CustomerId = '9e49ccd2-8c7f-b901-2ce4-3a1e375d29bf'
group by CustomerId, TenantCode, ActualExpiredDate
order by ExpiryMonth;
----------sau đó xóa key redis: 
Thông tin redis: 
10.201.133.9,abortConnect=false,password=DevCI-ICT@2023
Key để xóa: 
FRT:Loyalty:FLC:Customer:0c71e981-9c73-af7a-690e-3a1f3e176b61:Expire6m
FRT:Loyalty:VAC:Customer:0c71e981-9c73-af7a-690e-3a1f3e176b61:Expire6m
FRT:Loyalty:LAB:Customer:0c71e981-9c73-af7a-690e-3a1f3e176b61:Expire6m
chạy lại câu query lấy thông tin bảng điểm có hạn dưới 6T của thành viên đó: 
select * from PointExpirySummary
where CustomerId = '9e49ccd2-8c7f-b901-2ce4-3a1e375d29bf' and TenantCode = 'FLC';
------lúc này sẽ thấy điểm hết hạn vừa update bên trên</t>
  </si>
  <si>
    <t>0347204346</t>
  </si>
  <si>
    <t>0328906609</t>
  </si>
  <si>
    <t>0932690296</t>
  </si>
  <si>
    <t xml:space="preserve">Swagger migrate VAC </t>
  </si>
  <si>
    <t>0899072741</t>
  </si>
  <si>
    <t>LANTTP UAT</t>
  </si>
  <si>
    <t>0775468510</t>
  </si>
  <si>
    <t>0914963479</t>
  </si>
  <si>
    <t>ViTTM</t>
  </si>
  <si>
    <t>UAT redis</t>
  </si>
  <si>
    <t>"Configuration": "10.201.133.18,abortConnect=false,password=XBLc86trdZ"</t>
  </si>
  <si>
    <t>0394130250</t>
  </si>
  <si>
    <t>0365829402</t>
  </si>
  <si>
    <t xml:space="preserve">DB loyalty UAT </t>
  </si>
  <si>
    <t xml:space="preserve">"LoyaltyCoreAPI": "Server=10.201.132.35;Database=FPT-Tenant-Loyalty;Trusted_Connection=False;User Id=user_loyalty_v2;Password=oCIzjVbNjVS23nJxWQuY;MultipleActiveResultSets=false;TrustServerCertificate=true" </t>
  </si>
  <si>
    <t>0935581718</t>
  </si>
  <si>
    <t>0973796250</t>
  </si>
  <si>
    <t>0397450053</t>
  </si>
  <si>
    <t>0888680016</t>
  </si>
  <si>
    <t>0775994539</t>
  </si>
  <si>
    <t>0963036567</t>
  </si>
  <si>
    <t>0775466591</t>
  </si>
  <si>
    <t>0775504965</t>
  </si>
  <si>
    <t>DaiDX</t>
  </si>
  <si>
    <t>0775505904</t>
  </si>
  <si>
    <t>0775465401</t>
  </si>
  <si>
    <t>0775504690</t>
  </si>
  <si>
    <t>TuanNM129</t>
  </si>
  <si>
    <t>0775465594</t>
  </si>
  <si>
    <t>0775467403</t>
  </si>
  <si>
    <t>0775505249</t>
  </si>
  <si>
    <t>0775467703</t>
  </si>
  <si>
    <t>0775467591</t>
  </si>
  <si>
    <t>0775467554</t>
  </si>
  <si>
    <t>0775467692</t>
  </si>
  <si>
    <t>0775467853</t>
  </si>
  <si>
    <t>0775465021</t>
  </si>
  <si>
    <t>0775469140</t>
  </si>
  <si>
    <t>0775469207</t>
  </si>
  <si>
    <t>0775504735</t>
  </si>
  <si>
    <t>số này chưa sync v1 v2</t>
  </si>
  <si>
    <t>0775468853</t>
  </si>
  <si>
    <t>0775465976</t>
  </si>
  <si>
    <t>0354810571</t>
  </si>
  <si>
    <t>0702618242</t>
  </si>
  <si>
    <t>0824937247</t>
  </si>
  <si>
    <t>0775502394</t>
  </si>
  <si>
    <t>0775469504</t>
  </si>
  <si>
    <t>0775466403</t>
  </si>
  <si>
    <t>0775469190</t>
  </si>
  <si>
    <t>0775506894</t>
  </si>
  <si>
    <t>0775469554</t>
  </si>
  <si>
    <t>0775504980</t>
  </si>
  <si>
    <t>chưa có gd</t>
  </si>
  <si>
    <t>0775467148</t>
  </si>
  <si>
    <t>0775465143</t>
  </si>
  <si>
    <t>Huy Dev</t>
  </si>
  <si>
    <t>0775466913</t>
  </si>
  <si>
    <t>0775466915</t>
  </si>
  <si>
    <t>0816106991</t>
  </si>
  <si>
    <t>0907164088</t>
  </si>
  <si>
    <t>0819097874</t>
  </si>
  <si>
    <t>0775507650</t>
  </si>
  <si>
    <t>0775471142</t>
  </si>
  <si>
    <t>0775470781</t>
  </si>
  <si>
    <t>0775470349</t>
  </si>
  <si>
    <t>0775471491</t>
  </si>
  <si>
    <t>0775471191</t>
  </si>
  <si>
    <t>0775469094</t>
  </si>
  <si>
    <t>0775507043</t>
  </si>
  <si>
    <t>0775506594</t>
  </si>
  <si>
    <t>0775468950</t>
  </si>
  <si>
    <t>0775507294</t>
  </si>
  <si>
    <t>0775469043</t>
  </si>
  <si>
    <t>0775468791</t>
  </si>
  <si>
    <t>0775469283</t>
  </si>
  <si>
    <t>0775467509</t>
  </si>
  <si>
    <t>Duong</t>
  </si>
  <si>
    <t>0775468396</t>
  </si>
  <si>
    <t>0775467584</t>
  </si>
  <si>
    <t>0775467249</t>
  </si>
  <si>
    <t>0775468091</t>
  </si>
  <si>
    <t>0775506783</t>
  </si>
  <si>
    <t>0775468670</t>
  </si>
  <si>
    <t>0775506349</t>
  </si>
  <si>
    <t>0775506047</t>
  </si>
  <si>
    <t>0775504892</t>
  </si>
  <si>
    <t>0775467913</t>
  </si>
  <si>
    <t>0775506453</t>
  </si>
  <si>
    <t>0775467404</t>
  </si>
  <si>
    <t>0775467948</t>
  </si>
  <si>
    <t>0775468930</t>
  </si>
  <si>
    <t>0775468902</t>
  </si>
  <si>
    <t>0563811626,</t>
  </si>
  <si>
    <t>0564631085,</t>
  </si>
  <si>
    <t>0567012919,</t>
  </si>
  <si>
    <t>0569848403,</t>
  </si>
  <si>
    <t>0582401304,</t>
  </si>
  <si>
    <t>0585055694,</t>
  </si>
  <si>
    <t>0585068352,</t>
  </si>
  <si>
    <t>0589158205,</t>
  </si>
  <si>
    <t>đảo 7</t>
  </si>
  <si>
    <t>0765623854,</t>
  </si>
  <si>
    <t>0775467249,</t>
  </si>
  <si>
    <t>0775467404,</t>
  </si>
  <si>
    <t>0775467509,</t>
  </si>
  <si>
    <t>Hannn7</t>
  </si>
  <si>
    <t>0775467584,</t>
  </si>
  <si>
    <t>0775467913,</t>
  </si>
  <si>
    <t>0775467948,</t>
  </si>
  <si>
    <t>hannn7</t>
  </si>
  <si>
    <t>0775468091,</t>
  </si>
  <si>
    <t>0775468396,</t>
  </si>
  <si>
    <t>0775468670,</t>
  </si>
  <si>
    <t>0775468902,</t>
  </si>
  <si>
    <t>0775469283,</t>
  </si>
  <si>
    <t>0775504892,</t>
  </si>
  <si>
    <t>0775506047,</t>
  </si>
  <si>
    <t>0775506349,</t>
  </si>
  <si>
    <t>0775506453,</t>
  </si>
  <si>
    <t>0775506783,</t>
  </si>
  <si>
    <t>0923153712,</t>
  </si>
  <si>
    <t>0924958321,</t>
  </si>
  <si>
    <t>0982016873</t>
  </si>
  <si>
    <t>0357045656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</si>
</sst>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010000]d/m/yyyy;@"/>
  </numFmts>
  <fonts count="28">
    <font>
      <sz val="11"/>
      <color theme="1"/>
      <name val="Calibri"/>
      <family val="2"/>
      <scheme val="minor"/>
    </font>
    <font>
      <b/>
      <sz val="11"/>
      <color theme="1"/>
      <name val="Aptos Narrow"/>
      <family val="2"/>
      <scheme val="minor"/>
    </font>
    <font>
      <b/>
      <sz val="11"/>
      <color rgb="FF000000"/>
      <name val="Calibri"/>
    </font>
    <font>
      <b/>
      <sz val="11"/>
      <color rgb="FF222B35"/>
      <name val="Calibri"/>
    </font>
    <font>
      <b/>
      <sz val="11"/>
      <color theme="1"/>
      <name val="Calibri"/>
      <family val="2"/>
      <scheme val="minor"/>
    </font>
    <font>
      <sz val="11"/>
      <color theme="1"/>
      <name val="Calibri"/>
    </font>
    <font>
      <sz val="10"/>
      <color rgb="FF000000"/>
      <name val="Arial"/>
      <family val="2"/>
      <scheme val="minor"/>
    </font>
    <font>
      <b/>
      <sz val="14"/>
      <color theme="1"/>
      <name val="Aptos Narrow"/>
    </font>
    <font>
      <b/>
      <sz val="10"/>
      <color rgb="FF000000"/>
      <name val="Arial"/>
    </font>
    <font>
      <b/>
      <sz val="10"/>
      <color theme="0"/>
      <name val="Arial"/>
    </font>
    <font>
      <sz val="11"/>
      <color rgb="FF000000"/>
      <name val="Aptos Narrow"/>
    </font>
    <font>
      <b/>
      <sz val="10"/>
      <color rgb="FFFFFFFF"/>
      <name val="Calibri"/>
      <family val="2"/>
      <scheme val="minor"/>
    </font>
    <font>
      <b/>
      <sz val="11"/>
      <color theme="1"/>
      <name val="Aptos Narrow"/>
    </font>
    <font>
      <b/>
      <sz val="11"/>
      <color rgb="FF000000"/>
      <name val="Calibri"/>
      <family val="2"/>
      <scheme val="minor"/>
    </font>
    <font>
      <sz val="11"/>
      <color rgb="FF000000"/>
      <name val="Calibri"/>
      <family val="2"/>
      <scheme val="minor"/>
    </font>
    <font>
      <sz val="14"/>
      <color theme="1"/>
      <name val="Aptos Narrow"/>
    </font>
    <font>
      <sz val="14"/>
      <color rgb="FF000000"/>
      <name val="Arial"/>
    </font>
    <font>
      <b/>
      <sz val="14"/>
      <color rgb="FF000000"/>
      <name val="Calibri"/>
      <family val="2"/>
      <scheme val="minor"/>
    </font>
    <font>
      <sz val="14"/>
      <color theme="1"/>
      <name val="Calibri"/>
    </font>
    <font>
      <b/>
      <sz val="12"/>
      <color rgb="FF000000"/>
      <name val="Calibri"/>
    </font>
    <font>
      <sz val="11"/>
      <color rgb="FF000000"/>
      <name val="Calibri"/>
    </font>
    <font>
      <sz val="9.4"/>
      <color rgb="FF000000"/>
      <name val="Segoe UI"/>
    </font>
    <font>
      <sz val="11"/>
      <color rgb="FF000000"/>
      <name val="Calibri"/>
      <scheme val="minor"/>
    </font>
    <font>
      <b/>
      <sz val="11"/>
      <color rgb="FF000000"/>
      <name val="Calibri"/>
      <scheme val="minor"/>
    </font>
    <font>
      <u/>
      <sz val="11"/>
      <color theme="10"/>
      <name val="Calibri"/>
      <family val="2"/>
      <scheme val="minor"/>
    </font>
    <font>
      <b/>
      <sz val="18"/>
      <color theme="1"/>
      <name val="Calibri"/>
      <family val="2"/>
      <scheme val="minor"/>
    </font>
    <font>
      <sz val="11"/>
      <color rgb="FFFF0000"/>
      <name val="Calibri"/>
      <family val="2"/>
      <scheme val="minor"/>
    </font>
    <font>
      <b/>
      <sz val="11"/>
      <color theme="0"/>
      <name val="Calibri"/>
    </font>
  </fonts>
  <fills count="16">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BFBFBF"/>
        <bgColor rgb="FF000000"/>
      </patternFill>
    </fill>
    <fill>
      <patternFill patternType="solid">
        <fgColor rgb="FF0070C0"/>
        <bgColor indexed="64"/>
      </patternFill>
    </fill>
    <fill>
      <patternFill patternType="solid">
        <fgColor theme="5"/>
        <bgColor indexed="64"/>
      </patternFill>
    </fill>
    <fill>
      <patternFill patternType="solid">
        <fgColor theme="5" tint="0.39997558519241921"/>
        <bgColor indexed="64"/>
      </patternFill>
    </fill>
    <fill>
      <patternFill patternType="solid">
        <fgColor rgb="FF0070C0"/>
        <bgColor rgb="FF0070C0"/>
      </patternFill>
    </fill>
    <fill>
      <patternFill patternType="solid">
        <fgColor theme="3" tint="0.89999084444715716"/>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FFFF0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bgColor theme="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medium">
        <color rgb="FF000000"/>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rgb="FF000000"/>
      </left>
      <right/>
      <top style="thin">
        <color rgb="FF000000"/>
      </top>
      <bottom/>
      <diagonal/>
    </border>
    <border>
      <left style="thin">
        <color rgb="FF000000"/>
      </left>
      <right style="thin">
        <color rgb="FF000000"/>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bottom style="thin">
        <color theme="1" tint="0.34998626667073579"/>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44B3E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6" fillId="0" borderId="0"/>
    <xf numFmtId="0" fontId="24" fillId="0" borderId="0" applyNumberFormat="0" applyFill="0" applyBorder="0" applyAlignment="0" applyProtection="0"/>
  </cellStyleXfs>
  <cellXfs count="132">
    <xf numFmtId="0" fontId="0" fillId="0" borderId="0" xfId="0"/>
    <xf numFmtId="0" fontId="1" fillId="2" borderId="1" xfId="0" applyFont="1" applyFill="1" applyBorder="1"/>
    <xf numFmtId="0" fontId="0" fillId="2" borderId="0" xfId="0" applyFill="1" applyAlignment="1">
      <alignment horizontal="center"/>
    </xf>
    <xf numFmtId="0" fontId="0" fillId="2" borderId="0" xfId="0" applyFill="1"/>
    <xf numFmtId="14" fontId="0" fillId="2" borderId="1" xfId="0" applyNumberFormat="1" applyFill="1" applyBorder="1"/>
    <xf numFmtId="14" fontId="0" fillId="2" borderId="0" xfId="0" applyNumberFormat="1" applyFill="1"/>
    <xf numFmtId="0" fontId="2" fillId="4" borderId="1" xfId="0" applyFont="1" applyFill="1" applyBorder="1" applyAlignment="1">
      <alignment horizontal="left" vertical="top" wrapText="1" readingOrder="1"/>
    </xf>
    <xf numFmtId="0" fontId="3" fillId="4" borderId="1" xfId="0" applyFont="1" applyFill="1" applyBorder="1" applyAlignment="1">
      <alignment horizontal="left" vertical="top" wrapText="1" readingOrder="1"/>
    </xf>
    <xf numFmtId="0" fontId="0" fillId="0" borderId="1" xfId="0" applyBorder="1" applyAlignment="1">
      <alignment horizontal="left" vertical="top" wrapText="1"/>
    </xf>
    <xf numFmtId="0" fontId="2" fillId="4" borderId="0" xfId="0" applyFont="1" applyFill="1" applyAlignment="1">
      <alignment horizontal="left" vertical="top" wrapText="1" readingOrder="1"/>
    </xf>
    <xf numFmtId="0" fontId="2" fillId="4" borderId="5" xfId="0" applyFont="1" applyFill="1" applyBorder="1" applyAlignment="1">
      <alignment horizontal="left" vertical="top" wrapText="1" readingOrder="1"/>
    </xf>
    <xf numFmtId="0" fontId="0" fillId="0" borderId="5" xfId="0" applyBorder="1" applyAlignment="1">
      <alignment horizontal="left" vertical="top" wrapText="1"/>
    </xf>
    <xf numFmtId="0" fontId="5" fillId="0" borderId="1" xfId="0" applyFont="1" applyBorder="1" applyAlignment="1">
      <alignment horizontal="left" vertical="top" wrapText="1"/>
    </xf>
    <xf numFmtId="0" fontId="7" fillId="6" borderId="0" xfId="0" applyFont="1" applyFill="1"/>
    <xf numFmtId="0" fontId="0" fillId="0" borderId="0" xfId="0" applyAlignment="1">
      <alignment horizontal="center" vertical="center"/>
    </xf>
    <xf numFmtId="0" fontId="0" fillId="0" borderId="0" xfId="0" applyAlignment="1">
      <alignment wrapText="1"/>
    </xf>
    <xf numFmtId="0" fontId="0" fillId="0" borderId="7" xfId="0" applyBorder="1"/>
    <xf numFmtId="0" fontId="0" fillId="0" borderId="8" xfId="0" applyBorder="1"/>
    <xf numFmtId="0" fontId="0" fillId="0" borderId="8" xfId="0" applyBorder="1" applyAlignment="1">
      <alignment horizontal="center" vertical="center"/>
    </xf>
    <xf numFmtId="0" fontId="0" fillId="0" borderId="8" xfId="0" applyBorder="1" applyAlignment="1">
      <alignment wrapText="1"/>
    </xf>
    <xf numFmtId="0" fontId="0" fillId="0" borderId="9" xfId="0" applyBorder="1"/>
    <xf numFmtId="0" fontId="0" fillId="0" borderId="10" xfId="0" applyBorder="1"/>
    <xf numFmtId="0" fontId="9" fillId="7" borderId="14" xfId="0" applyFont="1" applyFill="1" applyBorder="1" applyAlignment="1">
      <alignment horizontal="center" vertical="center" wrapText="1"/>
    </xf>
    <xf numFmtId="0" fontId="9" fillId="7" borderId="14" xfId="0" applyFont="1" applyFill="1" applyBorder="1" applyAlignment="1">
      <alignment horizontal="center" vertical="center"/>
    </xf>
    <xf numFmtId="0" fontId="9" fillId="7" borderId="11"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4" xfId="0" applyFont="1" applyFill="1" applyBorder="1" applyAlignment="1">
      <alignment horizontal="center" vertical="center" wrapText="1"/>
    </xf>
    <xf numFmtId="0" fontId="10" fillId="2" borderId="15" xfId="0" applyFont="1" applyFill="1" applyBorder="1"/>
    <xf numFmtId="0" fontId="8" fillId="7" borderId="14" xfId="0" applyFont="1" applyFill="1" applyBorder="1" applyAlignment="1">
      <alignment horizontal="center" vertical="center"/>
    </xf>
    <xf numFmtId="0" fontId="9" fillId="7" borderId="16" xfId="0" applyFont="1" applyFill="1" applyBorder="1" applyAlignment="1">
      <alignment horizontal="center" vertical="center"/>
    </xf>
    <xf numFmtId="0" fontId="8" fillId="7" borderId="16" xfId="0" applyFont="1" applyFill="1" applyBorder="1" applyAlignment="1">
      <alignment horizontal="left" vertical="center"/>
    </xf>
    <xf numFmtId="0" fontId="9" fillId="7" borderId="3" xfId="0" applyFont="1" applyFill="1" applyBorder="1" applyAlignment="1">
      <alignment horizontal="center" vertical="center"/>
    </xf>
    <xf numFmtId="0" fontId="9" fillId="7" borderId="3" xfId="0" applyFont="1" applyFill="1" applyBorder="1" applyAlignment="1">
      <alignment horizontal="center" vertical="center" wrapText="1"/>
    </xf>
    <xf numFmtId="0" fontId="11" fillId="8" borderId="17" xfId="1" applyFont="1" applyFill="1" applyBorder="1" applyAlignment="1">
      <alignment horizontal="center" vertical="center"/>
    </xf>
    <xf numFmtId="0" fontId="11" fillId="8" borderId="1" xfId="1" applyFont="1" applyFill="1" applyBorder="1" applyAlignment="1">
      <alignment horizontal="center" vertical="center"/>
    </xf>
    <xf numFmtId="0" fontId="11" fillId="8" borderId="18" xfId="1" applyFont="1" applyFill="1" applyBorder="1" applyAlignment="1">
      <alignment horizontal="center" vertical="center" wrapText="1"/>
    </xf>
    <xf numFmtId="0" fontId="11" fillId="8" borderId="14" xfId="1" applyFont="1" applyFill="1" applyBorder="1" applyAlignment="1">
      <alignment horizontal="center" vertical="center" wrapText="1"/>
    </xf>
    <xf numFmtId="0" fontId="11" fillId="8" borderId="14" xfId="1" applyFont="1" applyFill="1" applyBorder="1" applyAlignment="1">
      <alignment horizontal="center" vertical="center"/>
    </xf>
    <xf numFmtId="0" fontId="11" fillId="8" borderId="16" xfId="1" applyFont="1" applyFill="1" applyBorder="1" applyAlignment="1">
      <alignment horizontal="center" vertical="center"/>
    </xf>
    <xf numFmtId="0" fontId="11" fillId="8" borderId="0" xfId="1" applyFont="1" applyFill="1" applyAlignment="1">
      <alignment horizontal="center" vertical="center"/>
    </xf>
    <xf numFmtId="0" fontId="11" fillId="8" borderId="19" xfId="1" applyFont="1" applyFill="1" applyBorder="1" applyAlignment="1">
      <alignment horizontal="center" vertical="center" wrapText="1"/>
    </xf>
    <xf numFmtId="0" fontId="11" fillId="8" borderId="6" xfId="1" applyFont="1" applyFill="1" applyBorder="1" applyAlignment="1">
      <alignment horizontal="center" vertical="center" wrapText="1"/>
    </xf>
    <xf numFmtId="0" fontId="13" fillId="2" borderId="1" xfId="1" applyFont="1" applyFill="1" applyBorder="1" applyAlignment="1">
      <alignment horizontal="left"/>
    </xf>
    <xf numFmtId="0" fontId="14" fillId="2" borderId="1" xfId="1"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4" fillId="2" borderId="6" xfId="1" applyFont="1" applyFill="1" applyBorder="1" applyAlignment="1">
      <alignment horizontal="center" vertical="center"/>
    </xf>
    <xf numFmtId="0" fontId="14" fillId="2" borderId="1" xfId="1" applyFont="1" applyFill="1" applyBorder="1" applyAlignment="1">
      <alignment horizontal="center" vertical="center"/>
    </xf>
    <xf numFmtId="164" fontId="14" fillId="9" borderId="1" xfId="1" applyNumberFormat="1" applyFont="1" applyFill="1" applyBorder="1" applyAlignment="1">
      <alignment horizontal="center" vertical="center"/>
    </xf>
    <xf numFmtId="0" fontId="0" fillId="0" borderId="1" xfId="0" applyBorder="1" applyAlignment="1">
      <alignment horizontal="left" vertical="top"/>
    </xf>
    <xf numFmtId="0" fontId="13" fillId="0" borderId="6" xfId="1" applyFont="1" applyBorder="1" applyAlignment="1">
      <alignment vertical="center" wrapText="1"/>
    </xf>
    <xf numFmtId="165" fontId="8" fillId="2" borderId="20" xfId="1" applyNumberFormat="1" applyFont="1" applyFill="1" applyBorder="1" applyAlignment="1">
      <alignment horizontal="right" vertical="center" wrapText="1"/>
    </xf>
    <xf numFmtId="0" fontId="5" fillId="0" borderId="0" xfId="0" applyFont="1" applyAlignment="1">
      <alignment horizontal="left" wrapText="1"/>
    </xf>
    <xf numFmtId="0" fontId="15" fillId="0" borderId="10" xfId="0" applyFont="1" applyBorder="1"/>
    <xf numFmtId="0" fontId="16" fillId="10" borderId="21" xfId="1" applyFont="1" applyFill="1" applyBorder="1"/>
    <xf numFmtId="0" fontId="17" fillId="10" borderId="21" xfId="1" applyFont="1" applyFill="1" applyBorder="1" applyAlignment="1">
      <alignment horizontal="center" vertical="center"/>
    </xf>
    <xf numFmtId="0" fontId="17" fillId="10" borderId="21" xfId="1" applyFont="1" applyFill="1" applyBorder="1" applyAlignment="1">
      <alignment horizontal="center" vertical="center" wrapText="1"/>
    </xf>
    <xf numFmtId="0" fontId="17" fillId="10" borderId="22" xfId="1" applyFont="1" applyFill="1" applyBorder="1" applyAlignment="1">
      <alignment horizontal="center" vertical="center" wrapText="1"/>
    </xf>
    <xf numFmtId="0" fontId="17" fillId="10" borderId="1" xfId="1" applyFont="1" applyFill="1" applyBorder="1" applyAlignment="1">
      <alignment horizontal="center" vertical="center"/>
    </xf>
    <xf numFmtId="164" fontId="17" fillId="9" borderId="1" xfId="1" applyNumberFormat="1" applyFont="1" applyFill="1" applyBorder="1" applyAlignment="1">
      <alignment horizontal="center" vertical="center"/>
    </xf>
    <xf numFmtId="0" fontId="18" fillId="0" borderId="0" xfId="0" applyFont="1" applyAlignment="1">
      <alignment horizontal="left"/>
    </xf>
    <xf numFmtId="0" fontId="0" fillId="0" borderId="23" xfId="0" applyBorder="1" applyAlignment="1">
      <alignment wrapText="1"/>
    </xf>
    <xf numFmtId="0" fontId="0" fillId="0" borderId="24" xfId="0" applyBorder="1"/>
    <xf numFmtId="0" fontId="10" fillId="2" borderId="24" xfId="0" applyFont="1" applyFill="1" applyBorder="1"/>
    <xf numFmtId="0" fontId="10" fillId="2" borderId="24" xfId="0" applyFont="1" applyFill="1" applyBorder="1" applyAlignment="1">
      <alignment wrapText="1"/>
    </xf>
    <xf numFmtId="0" fontId="10" fillId="2" borderId="24" xfId="0" applyFont="1" applyFill="1" applyBorder="1" applyAlignment="1">
      <alignment horizontal="center" vertical="center"/>
    </xf>
    <xf numFmtId="0" fontId="10" fillId="2" borderId="25" xfId="0" applyFont="1" applyFill="1" applyBorder="1" applyAlignment="1">
      <alignment wrapText="1"/>
    </xf>
    <xf numFmtId="0" fontId="5" fillId="0" borderId="0" xfId="0" applyFont="1" applyAlignment="1">
      <alignment horizontal="left"/>
    </xf>
    <xf numFmtId="0" fontId="0" fillId="0" borderId="0" xfId="0" applyAlignment="1">
      <alignment horizontal="center" vertical="center" wrapText="1"/>
    </xf>
    <xf numFmtId="0" fontId="12" fillId="3" borderId="1" xfId="0" applyFont="1" applyFill="1" applyBorder="1" applyAlignment="1">
      <alignment horizontal="left" vertical="top" wrapText="1"/>
    </xf>
    <xf numFmtId="0" fontId="19" fillId="3" borderId="1" xfId="0" applyFont="1" applyFill="1" applyBorder="1" applyAlignment="1">
      <alignment horizontal="left" vertical="top" wrapText="1"/>
    </xf>
    <xf numFmtId="0" fontId="20" fillId="0" borderId="1" xfId="0" applyFont="1" applyBorder="1" applyAlignment="1">
      <alignment horizontal="left" vertical="top" wrapText="1"/>
    </xf>
    <xf numFmtId="0" fontId="20" fillId="0" borderId="4" xfId="0" applyFont="1" applyBorder="1" applyAlignment="1">
      <alignment horizontal="left" vertical="top" wrapText="1"/>
    </xf>
    <xf numFmtId="0" fontId="0" fillId="0" borderId="2" xfId="0" applyBorder="1" applyAlignment="1">
      <alignment horizontal="left" vertical="top" wrapText="1"/>
    </xf>
    <xf numFmtId="0" fontId="0" fillId="0" borderId="19" xfId="0" applyBorder="1" applyAlignment="1">
      <alignment horizontal="left" vertical="top" wrapText="1"/>
    </xf>
    <xf numFmtId="0" fontId="14" fillId="0" borderId="1" xfId="0" applyFont="1" applyBorder="1" applyAlignment="1">
      <alignment horizontal="left" vertical="top" wrapText="1"/>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10" fillId="0" borderId="28" xfId="0" applyFont="1" applyBorder="1" applyAlignment="1">
      <alignment wrapText="1"/>
    </xf>
    <xf numFmtId="0" fontId="21" fillId="11" borderId="29" xfId="0" applyFont="1" applyFill="1" applyBorder="1" applyAlignment="1">
      <alignment wrapText="1"/>
    </xf>
    <xf numFmtId="0" fontId="10" fillId="0" borderId="1" xfId="0" applyFont="1" applyBorder="1" applyAlignment="1">
      <alignment wrapText="1"/>
    </xf>
    <xf numFmtId="0" fontId="21" fillId="11" borderId="30" xfId="0" applyFont="1" applyFill="1" applyBorder="1" applyAlignment="1">
      <alignment wrapText="1"/>
    </xf>
    <xf numFmtId="0" fontId="10" fillId="0" borderId="5" xfId="0" applyFont="1" applyBorder="1" applyAlignment="1">
      <alignment wrapText="1"/>
    </xf>
    <xf numFmtId="0" fontId="21" fillId="11" borderId="31" xfId="0" applyFont="1" applyFill="1" applyBorder="1" applyAlignment="1">
      <alignment wrapText="1"/>
    </xf>
    <xf numFmtId="0" fontId="10" fillId="0" borderId="1" xfId="0" applyFont="1" applyBorder="1" applyAlignment="1">
      <alignment vertical="top" wrapText="1"/>
    </xf>
    <xf numFmtId="0" fontId="0" fillId="5" borderId="0" xfId="0" applyFill="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21" fillId="11" borderId="1" xfId="0" applyFont="1" applyFill="1" applyBorder="1" applyAlignment="1">
      <alignment wrapText="1"/>
    </xf>
    <xf numFmtId="0" fontId="0" fillId="0" borderId="4" xfId="0" applyBorder="1" applyAlignment="1">
      <alignment horizontal="left" vertical="top" wrapText="1"/>
    </xf>
    <xf numFmtId="0" fontId="21" fillId="11" borderId="32" xfId="0" applyFont="1" applyFill="1" applyBorder="1" applyAlignment="1">
      <alignment wrapText="1"/>
    </xf>
    <xf numFmtId="0" fontId="5" fillId="0" borderId="5" xfId="0" applyFont="1" applyBorder="1" applyAlignment="1">
      <alignment horizontal="left" vertical="top" wrapText="1"/>
    </xf>
    <xf numFmtId="0" fontId="0" fillId="0" borderId="33" xfId="0" applyBorder="1" applyAlignment="1">
      <alignment horizontal="left" vertical="top" wrapText="1"/>
    </xf>
    <xf numFmtId="0" fontId="5" fillId="0" borderId="33" xfId="0" applyFont="1" applyBorder="1" applyAlignment="1">
      <alignment horizontal="left" vertical="top" wrapText="1"/>
    </xf>
    <xf numFmtId="0" fontId="0" fillId="13" borderId="1" xfId="0" applyFill="1" applyBorder="1" applyAlignment="1">
      <alignment horizontal="left" vertical="top" wrapText="1"/>
    </xf>
    <xf numFmtId="0" fontId="24" fillId="0" borderId="1" xfId="2" applyBorder="1" applyAlignment="1">
      <alignment horizontal="left" vertical="top" wrapText="1"/>
    </xf>
    <xf numFmtId="0" fontId="25" fillId="14" borderId="5" xfId="0" applyFont="1" applyFill="1" applyBorder="1" applyAlignment="1">
      <alignment horizontal="left" vertical="top"/>
    </xf>
    <xf numFmtId="0" fontId="0" fillId="0" borderId="1" xfId="0" quotePrefix="1" applyBorder="1" applyAlignment="1">
      <alignment horizontal="left" vertical="top"/>
    </xf>
    <xf numFmtId="0" fontId="0" fillId="0" borderId="1" xfId="0" quotePrefix="1" applyBorder="1"/>
    <xf numFmtId="0" fontId="0" fillId="12" borderId="0" xfId="0" applyFill="1"/>
    <xf numFmtId="0" fontId="21" fillId="11" borderId="5" xfId="0" applyFont="1" applyFill="1" applyBorder="1" applyAlignment="1">
      <alignment wrapText="1"/>
    </xf>
    <xf numFmtId="0" fontId="0" fillId="13" borderId="5" xfId="0" applyFill="1" applyBorder="1" applyAlignment="1">
      <alignment horizontal="left" vertical="top" wrapText="1"/>
    </xf>
    <xf numFmtId="0" fontId="0" fillId="0" borderId="6" xfId="0" applyBorder="1" applyAlignment="1">
      <alignment horizontal="left" vertical="top" wrapText="1"/>
    </xf>
    <xf numFmtId="0" fontId="13" fillId="2" borderId="0" xfId="1" applyFont="1" applyFill="1" applyAlignment="1">
      <alignment horizontal="left"/>
    </xf>
    <xf numFmtId="0" fontId="0" fillId="0" borderId="26" xfId="0" applyBorder="1" applyAlignment="1">
      <alignment horizontal="left" vertical="top" wrapText="1"/>
    </xf>
    <xf numFmtId="0" fontId="10" fillId="2" borderId="0" xfId="0" applyFont="1" applyFill="1"/>
    <xf numFmtId="0" fontId="10" fillId="2" borderId="0" xfId="0" applyFont="1" applyFill="1" applyAlignment="1">
      <alignment wrapText="1"/>
    </xf>
    <xf numFmtId="0" fontId="10" fillId="2" borderId="0" xfId="0" applyFont="1" applyFill="1" applyAlignment="1">
      <alignment horizontal="center" vertical="center"/>
    </xf>
    <xf numFmtId="0" fontId="26" fillId="0" borderId="1" xfId="0" quotePrefix="1" applyFont="1" applyBorder="1" applyAlignment="1">
      <alignment horizontal="left" vertical="top"/>
    </xf>
    <xf numFmtId="0" fontId="27" fillId="15" borderId="34" xfId="0" applyFont="1" applyFill="1" applyBorder="1"/>
    <xf numFmtId="0" fontId="27" fillId="15" borderId="35" xfId="0" applyFont="1" applyFill="1" applyBorder="1"/>
    <xf numFmtId="0" fontId="27" fillId="15" borderId="1" xfId="0" applyFont="1" applyFill="1" applyBorder="1" applyAlignment="1">
      <alignment horizontal="left" vertical="top" wrapText="1"/>
    </xf>
    <xf numFmtId="0" fontId="27" fillId="15" borderId="5" xfId="0" applyFont="1" applyFill="1" applyBorder="1" applyAlignment="1">
      <alignment horizontal="left" vertical="top" wrapText="1"/>
    </xf>
    <xf numFmtId="0" fontId="0" fillId="0" borderId="0" xfId="0" applyAlignment="1">
      <alignment vertical="top" wrapText="1"/>
    </xf>
    <xf numFmtId="0" fontId="0" fillId="0" borderId="33" xfId="0" applyBorder="1" applyAlignment="1">
      <alignment horizontal="left" vertical="top"/>
    </xf>
    <xf numFmtId="0" fontId="24" fillId="0" borderId="1" xfId="2" applyBorder="1"/>
    <xf numFmtId="0" fontId="0" fillId="13" borderId="2" xfId="0" applyFill="1" applyBorder="1" applyAlignment="1">
      <alignment horizontal="left" vertical="top" wrapText="1"/>
    </xf>
    <xf numFmtId="0" fontId="0" fillId="13" borderId="19" xfId="0" applyFill="1" applyBorder="1" applyAlignment="1">
      <alignment horizontal="left" vertical="top" wrapText="1"/>
    </xf>
    <xf numFmtId="0" fontId="0" fillId="0" borderId="5" xfId="0" quotePrefix="1" applyBorder="1" applyAlignment="1">
      <alignment horizontal="left" vertical="top"/>
    </xf>
    <xf numFmtId="0" fontId="0" fillId="12" borderId="1" xfId="0" quotePrefix="1" applyFill="1" applyBorder="1" applyAlignment="1">
      <alignment horizontal="left" vertical="top"/>
    </xf>
    <xf numFmtId="0" fontId="8" fillId="7" borderId="11" xfId="0" applyFont="1" applyFill="1" applyBorder="1" applyAlignment="1">
      <alignment horizontal="center" vertical="center"/>
    </xf>
    <xf numFmtId="0" fontId="8" fillId="7" borderId="12" xfId="0" applyFont="1" applyFill="1" applyBorder="1" applyAlignment="1">
      <alignment horizontal="center" vertical="center"/>
    </xf>
    <xf numFmtId="0" fontId="8" fillId="7" borderId="13" xfId="0" applyFont="1" applyFill="1" applyBorder="1" applyAlignment="1">
      <alignment horizontal="center" vertic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12" fillId="5" borderId="26" xfId="0" applyFont="1" applyFill="1" applyBorder="1" applyAlignment="1">
      <alignment horizontal="left" vertical="top" wrapText="1"/>
    </xf>
    <xf numFmtId="0" fontId="12" fillId="5" borderId="27" xfId="0" applyFont="1" applyFill="1" applyBorder="1" applyAlignment="1">
      <alignment horizontal="left" vertical="top" wrapText="1"/>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cellXfs>
  <cellStyles count="3">
    <cellStyle name="Hyperlink" xfId="2" xr:uid="{00000000-000B-0000-0000-000008000000}"/>
    <cellStyle name="Normal" xfId="0" builtinId="0"/>
    <cellStyle name="Normal 3" xfId="1" xr:uid="{605D6239-9AE1-4B40-9824-D518F99D7ED6}"/>
  </cellStyles>
  <dxfs count="9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4" tint="-0.499984740745262"/>
      </font>
      <fill>
        <patternFill patternType="solid">
          <bgColor theme="4"/>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theme="9" tint="0.79998168889431442"/>
      </font>
      <fill>
        <patternFill patternType="solid">
          <bgColor theme="9" tint="-0.24997711111789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9" tint="0.79998168889431442"/>
      </font>
      <fill>
        <patternFill patternType="solid">
          <bgColor theme="6" tint="0.39997558519241921"/>
        </patternFill>
      </fill>
    </dxf>
    <dxf>
      <font>
        <color theme="9" tint="0.79998168889431442"/>
      </font>
      <fill>
        <patternFill patternType="solid">
          <bgColor theme="6" tint="0.39997558519241921"/>
        </patternFill>
      </fill>
    </dxf>
    <dxf>
      <font>
        <color theme="9" tint="0.79998168889431442"/>
      </font>
      <fill>
        <patternFill patternType="solid">
          <bgColor theme="6" tint="0.39997558519241921"/>
        </patternFill>
      </fill>
    </dxf>
    <dxf>
      <font>
        <color theme="9" tint="0.79998168889431442"/>
      </font>
      <fill>
        <patternFill patternType="solid">
          <bgColor theme="6" tint="0.399975585192419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4572000</xdr:colOff>
      <xdr:row>5</xdr:row>
      <xdr:rowOff>47625</xdr:rowOff>
    </xdr:to>
    <xdr:pic>
      <xdr:nvPicPr>
        <xdr:cNvPr id="3" name="">
          <a:extLst>
            <a:ext uri="{FF2B5EF4-FFF2-40B4-BE49-F238E27FC236}">
              <a16:creationId xmlns:a16="http://schemas.microsoft.com/office/drawing/2014/main" id="{D6F47A57-2300-6FC9-3129-D61BAEE6403C}"/>
            </a:ext>
          </a:extLst>
        </xdr:cNvPr>
        <xdr:cNvPicPr>
          <a:picLocks noChangeAspect="1"/>
        </xdr:cNvPicPr>
      </xdr:nvPicPr>
      <xdr:blipFill>
        <a:blip xmlns:r="http://schemas.openxmlformats.org/officeDocument/2006/relationships" r:embed="rId1"/>
        <a:stretch>
          <a:fillRect/>
        </a:stretch>
      </xdr:blipFill>
      <xdr:spPr>
        <a:xfrm>
          <a:off x="6819900" y="1352550"/>
          <a:ext cx="4572000" cy="428625"/>
        </a:xfrm>
        <a:prstGeom prst="rect">
          <a:avLst/>
        </a:prstGeom>
      </xdr:spPr>
    </xdr:pic>
    <xdr:clientData/>
  </xdr:twoCellAnchor>
  <xdr:twoCellAnchor editAs="oneCell">
    <xdr:from>
      <xdr:col>9</xdr:col>
      <xdr:colOff>47625</xdr:colOff>
      <xdr:row>5</xdr:row>
      <xdr:rowOff>57150</xdr:rowOff>
    </xdr:from>
    <xdr:to>
      <xdr:col>9</xdr:col>
      <xdr:colOff>4619625</xdr:colOff>
      <xdr:row>8</xdr:row>
      <xdr:rowOff>38100</xdr:rowOff>
    </xdr:to>
    <xdr:pic>
      <xdr:nvPicPr>
        <xdr:cNvPr id="4" name="">
          <a:extLst>
            <a:ext uri="{FF2B5EF4-FFF2-40B4-BE49-F238E27FC236}">
              <a16:creationId xmlns:a16="http://schemas.microsoft.com/office/drawing/2014/main" id="{DCF5FCE7-46E3-D208-0957-B328CE6E5560}"/>
            </a:ext>
            <a:ext uri="{147F2762-F138-4A5C-976F-8EAC2B608ADB}">
              <a16:predDERef xmlns:a16="http://schemas.microsoft.com/office/drawing/2014/main" pred="{D6F47A57-2300-6FC9-3129-D61BAEE6403C}"/>
            </a:ext>
          </a:extLst>
        </xdr:cNvPr>
        <xdr:cNvPicPr>
          <a:picLocks noChangeAspect="1"/>
        </xdr:cNvPicPr>
      </xdr:nvPicPr>
      <xdr:blipFill>
        <a:blip xmlns:r="http://schemas.openxmlformats.org/officeDocument/2006/relationships" r:embed="rId2"/>
        <a:stretch>
          <a:fillRect/>
        </a:stretch>
      </xdr:blipFill>
      <xdr:spPr>
        <a:xfrm>
          <a:off x="9725025" y="1990725"/>
          <a:ext cx="4572000"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mailto:lynh16@fpt.com" TargetMode="External"/><Relationship Id="rId13" Type="http://schemas.openxmlformats.org/officeDocument/2006/relationships/hyperlink" Target="mailto:hannn7@fpt.com" TargetMode="External"/><Relationship Id="rId18" Type="http://schemas.openxmlformats.org/officeDocument/2006/relationships/hyperlink" Target="tel:+84907502443" TargetMode="External"/><Relationship Id="rId26" Type="http://schemas.openxmlformats.org/officeDocument/2006/relationships/hyperlink" Target="tel:+84978035945" TargetMode="External"/><Relationship Id="rId3" Type="http://schemas.openxmlformats.org/officeDocument/2006/relationships/hyperlink" Target="mailto:lanttp@fpt.com" TargetMode="External"/><Relationship Id="rId21" Type="http://schemas.openxmlformats.org/officeDocument/2006/relationships/hyperlink" Target="mailto:hannn7@fpt.com" TargetMode="External"/><Relationship Id="rId7" Type="http://schemas.openxmlformats.org/officeDocument/2006/relationships/hyperlink" Target="mailto:lynh16@fpt.com" TargetMode="External"/><Relationship Id="rId12" Type="http://schemas.openxmlformats.org/officeDocument/2006/relationships/hyperlink" Target="mailto:Vittm@fpt.com" TargetMode="External"/><Relationship Id="rId17" Type="http://schemas.openxmlformats.org/officeDocument/2006/relationships/hyperlink" Target="mailto:chiltx@fpt.com" TargetMode="External"/><Relationship Id="rId25" Type="http://schemas.openxmlformats.org/officeDocument/2006/relationships/hyperlink" Target="mailto:haonn3@fpt.com" TargetMode="External"/><Relationship Id="rId2" Type="http://schemas.openxmlformats.org/officeDocument/2006/relationships/hyperlink" Target="mailto:lanttp@fpt.com" TargetMode="External"/><Relationship Id="rId16" Type="http://schemas.openxmlformats.org/officeDocument/2006/relationships/hyperlink" Target="tel:+84906593663" TargetMode="External"/><Relationship Id="rId20" Type="http://schemas.openxmlformats.org/officeDocument/2006/relationships/hyperlink" Target="mailto:hannn7@fpt.com" TargetMode="External"/><Relationship Id="rId29" Type="http://schemas.openxmlformats.org/officeDocument/2006/relationships/hyperlink" Target="mailto:hoangdm20@fpt.com" TargetMode="External"/><Relationship Id="rId1" Type="http://schemas.openxmlformats.org/officeDocument/2006/relationships/hyperlink" Target="mailto:lanttp@fpt.com" TargetMode="External"/><Relationship Id="rId6" Type="http://schemas.openxmlformats.org/officeDocument/2006/relationships/hyperlink" Target="mailto:lannt33@fpt.com" TargetMode="External"/><Relationship Id="rId11" Type="http://schemas.openxmlformats.org/officeDocument/2006/relationships/hyperlink" Target="mailto:Vittm@fpt.com" TargetMode="External"/><Relationship Id="rId24" Type="http://schemas.openxmlformats.org/officeDocument/2006/relationships/hyperlink" Target="tel:+84904592677" TargetMode="External"/><Relationship Id="rId5" Type="http://schemas.openxmlformats.org/officeDocument/2006/relationships/hyperlink" Target="mailto:lannt33@fpt.com" TargetMode="External"/><Relationship Id="rId15" Type="http://schemas.openxmlformats.org/officeDocument/2006/relationships/hyperlink" Target="mailto:hannn7@fpt.com" TargetMode="External"/><Relationship Id="rId23" Type="http://schemas.openxmlformats.org/officeDocument/2006/relationships/hyperlink" Target="tel:+84975560309" TargetMode="External"/><Relationship Id="rId28" Type="http://schemas.openxmlformats.org/officeDocument/2006/relationships/hyperlink" Target="mailto:hoangdm20@fpt.com" TargetMode="External"/><Relationship Id="rId10" Type="http://schemas.openxmlformats.org/officeDocument/2006/relationships/hyperlink" Target="mailto:khangld10@fpt.com" TargetMode="External"/><Relationship Id="rId19" Type="http://schemas.openxmlformats.org/officeDocument/2006/relationships/hyperlink" Target="tel:+84819097874" TargetMode="External"/><Relationship Id="rId4" Type="http://schemas.openxmlformats.org/officeDocument/2006/relationships/hyperlink" Target="mailto:khoalnt@fpt.com" TargetMode="External"/><Relationship Id="rId9" Type="http://schemas.openxmlformats.org/officeDocument/2006/relationships/hyperlink" Target="mailto:anhlqd2@fpt.com" TargetMode="External"/><Relationship Id="rId14" Type="http://schemas.openxmlformats.org/officeDocument/2006/relationships/hyperlink" Target="mailto:hannn7@fpt.com" TargetMode="External"/><Relationship Id="rId22" Type="http://schemas.openxmlformats.org/officeDocument/2006/relationships/hyperlink" Target="mailto:thanhnx7@fpt.com" TargetMode="External"/><Relationship Id="rId27" Type="http://schemas.openxmlformats.org/officeDocument/2006/relationships/hyperlink" Target="mailto:toanlbk@fpt.com" TargetMode="External"/><Relationship Id="rId30" Type="http://schemas.openxmlformats.org/officeDocument/2006/relationships/hyperlink" Target="mailto:lannt33@fpt.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ci-fpt-loyalty-app-api-lc.frt.local/swagger/index.html" TargetMode="External"/><Relationship Id="rId2" Type="http://schemas.openxmlformats.org/officeDocument/2006/relationships/hyperlink" Target="http://ci-family-core.lc.frt.local/swagger/index.html" TargetMode="External"/><Relationship Id="rId1" Type="http://schemas.openxmlformats.org/officeDocument/2006/relationships/hyperlink" Target="http://ci-customer-identity-application-v2.lc.frt.local/api/v1/internal/customers/identities?identifierType=contact&amp;identifierValue=094530397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8"/>
  <sheetViews>
    <sheetView topLeftCell="N21" workbookViewId="0">
      <selection activeCell="AA35" sqref="AA35"/>
    </sheetView>
  </sheetViews>
  <sheetFormatPr defaultRowHeight="15"/>
  <cols>
    <col min="1" max="1" width="17.28515625" customWidth="1"/>
    <col min="3" max="3" width="0" hidden="1" customWidth="1"/>
    <col min="4" max="4" width="18.7109375" customWidth="1"/>
    <col min="5" max="5" width="0" hidden="1" customWidth="1"/>
    <col min="6" max="6" width="19.5703125" customWidth="1"/>
    <col min="7" max="8" width="0" hidden="1" customWidth="1"/>
    <col min="15" max="15" width="24.140625" customWidth="1"/>
  </cols>
  <sheetData>
    <row r="1" spans="1:22">
      <c r="A1" s="1" t="s">
        <v>0</v>
      </c>
      <c r="B1" s="124" t="s">
        <v>1</v>
      </c>
      <c r="C1" s="125"/>
      <c r="D1" s="126"/>
      <c r="E1" s="2"/>
      <c r="F1" s="2"/>
      <c r="G1" s="2"/>
      <c r="H1" s="3"/>
      <c r="I1" s="3"/>
      <c r="J1" s="3"/>
      <c r="K1" s="3"/>
      <c r="L1" s="3"/>
      <c r="M1" s="3"/>
      <c r="N1" s="3"/>
      <c r="O1" s="3"/>
      <c r="P1" s="3"/>
      <c r="Q1" s="3"/>
    </row>
    <row r="2" spans="1:22">
      <c r="A2" s="1" t="s">
        <v>2</v>
      </c>
      <c r="B2" s="124" t="s">
        <v>3</v>
      </c>
      <c r="C2" s="125"/>
      <c r="D2" s="126"/>
      <c r="E2" s="2"/>
      <c r="F2" s="2"/>
      <c r="G2" s="2"/>
      <c r="H2" s="3"/>
      <c r="I2" s="3"/>
      <c r="J2" s="3"/>
      <c r="K2" s="3"/>
      <c r="L2" s="3"/>
      <c r="M2" s="3"/>
      <c r="N2" s="3"/>
      <c r="O2" s="3"/>
      <c r="P2" s="3"/>
      <c r="Q2" s="3"/>
    </row>
    <row r="3" spans="1:22">
      <c r="A3" s="1" t="s">
        <v>4</v>
      </c>
      <c r="B3" s="124" t="s">
        <v>5</v>
      </c>
      <c r="C3" s="125"/>
      <c r="D3" s="126"/>
      <c r="E3" s="2"/>
      <c r="F3" s="2"/>
      <c r="G3" s="2"/>
      <c r="H3" s="3"/>
      <c r="I3" s="3"/>
      <c r="J3" s="3"/>
      <c r="K3" s="3"/>
      <c r="L3" s="3"/>
      <c r="M3" s="3"/>
      <c r="N3" s="3"/>
      <c r="O3" s="3"/>
      <c r="P3" s="3"/>
      <c r="Q3" s="3"/>
    </row>
    <row r="4" spans="1:22">
      <c r="A4" s="1" t="s">
        <v>6</v>
      </c>
      <c r="B4" s="4"/>
      <c r="C4" s="1" t="s">
        <v>7</v>
      </c>
      <c r="D4" s="4"/>
      <c r="E4" s="5"/>
      <c r="F4" s="5"/>
      <c r="G4" s="3"/>
      <c r="H4" s="3"/>
      <c r="I4" s="3"/>
      <c r="J4" s="3"/>
      <c r="K4" s="3"/>
      <c r="L4" s="3"/>
      <c r="M4" s="3"/>
      <c r="N4" s="3"/>
      <c r="O4" s="3"/>
      <c r="P4" s="3"/>
      <c r="Q4" s="3"/>
    </row>
    <row r="5" spans="1:22" hidden="1"/>
    <row r="6" spans="1:22" ht="18.75" hidden="1">
      <c r="B6" s="13" t="s">
        <v>8</v>
      </c>
      <c r="R6" s="14"/>
      <c r="S6" s="15"/>
      <c r="T6" s="15"/>
    </row>
    <row r="7" spans="1:22" hidden="1">
      <c r="B7" s="16"/>
      <c r="C7" s="17"/>
      <c r="D7" s="17"/>
      <c r="E7" s="17"/>
      <c r="F7" s="17"/>
      <c r="G7" s="17"/>
      <c r="H7" s="17"/>
      <c r="I7" s="17"/>
      <c r="J7" s="17"/>
      <c r="K7" s="17"/>
      <c r="L7" s="17"/>
      <c r="M7" s="17"/>
      <c r="N7" s="17"/>
      <c r="O7" s="17"/>
      <c r="P7" s="17"/>
      <c r="Q7" s="17"/>
      <c r="R7" s="18"/>
      <c r="S7" s="19"/>
      <c r="T7" s="19"/>
      <c r="U7" s="20"/>
    </row>
    <row r="8" spans="1:22" hidden="1">
      <c r="B8" s="21"/>
      <c r="C8" s="121"/>
      <c r="D8" s="122"/>
      <c r="E8" s="122"/>
      <c r="F8" s="123"/>
      <c r="G8" s="22"/>
      <c r="H8" s="22"/>
      <c r="I8" s="23"/>
      <c r="J8" s="23"/>
      <c r="K8" s="23"/>
      <c r="L8" s="23"/>
      <c r="M8" s="23"/>
      <c r="N8" s="23"/>
      <c r="O8" s="23"/>
      <c r="P8" s="23"/>
      <c r="Q8" s="24"/>
      <c r="R8" s="25"/>
      <c r="S8" s="26"/>
      <c r="T8" s="26"/>
      <c r="U8" s="27"/>
    </row>
    <row r="9" spans="1:22" ht="15" hidden="1" customHeight="1">
      <c r="B9" s="21"/>
      <c r="C9" s="28"/>
      <c r="D9" s="29"/>
      <c r="E9" s="29"/>
      <c r="F9" s="30"/>
      <c r="G9" s="22"/>
      <c r="H9" s="22"/>
      <c r="I9" s="23"/>
      <c r="J9" s="23"/>
      <c r="K9" s="23"/>
      <c r="L9" s="23"/>
      <c r="M9" s="23"/>
      <c r="N9" s="23"/>
      <c r="O9" s="23"/>
      <c r="P9" s="23"/>
      <c r="Q9" s="24"/>
      <c r="R9" s="31"/>
      <c r="S9" s="32"/>
      <c r="T9" s="26"/>
      <c r="U9" s="27"/>
    </row>
    <row r="10" spans="1:22" ht="27" hidden="1">
      <c r="B10" s="21"/>
      <c r="C10" s="33" t="s">
        <v>9</v>
      </c>
      <c r="D10" s="34" t="s">
        <v>10</v>
      </c>
      <c r="E10" s="34" t="s">
        <v>11</v>
      </c>
      <c r="F10" s="34" t="s">
        <v>12</v>
      </c>
      <c r="G10" s="35" t="s">
        <v>13</v>
      </c>
      <c r="H10" s="36" t="s">
        <v>14</v>
      </c>
      <c r="I10" s="37" t="s">
        <v>15</v>
      </c>
      <c r="J10" s="37" t="s">
        <v>16</v>
      </c>
      <c r="K10" s="37" t="s">
        <v>17</v>
      </c>
      <c r="L10" s="37" t="s">
        <v>18</v>
      </c>
      <c r="M10" s="37" t="s">
        <v>19</v>
      </c>
      <c r="N10" s="37" t="s">
        <v>20</v>
      </c>
      <c r="O10" s="37" t="s">
        <v>21</v>
      </c>
      <c r="P10" s="37" t="s">
        <v>22</v>
      </c>
      <c r="Q10" s="38" t="s">
        <v>23</v>
      </c>
      <c r="R10" s="39" t="s">
        <v>24</v>
      </c>
      <c r="S10" s="40" t="s">
        <v>25</v>
      </c>
      <c r="T10" s="41" t="s">
        <v>26</v>
      </c>
      <c r="U10" s="27"/>
    </row>
    <row r="11" spans="1:22" hidden="1">
      <c r="B11" s="21"/>
      <c r="C11" s="42"/>
      <c r="D11" s="43" t="s">
        <v>27</v>
      </c>
      <c r="E11" s="44" t="s">
        <v>28</v>
      </c>
      <c r="F11" s="45" t="s">
        <v>29</v>
      </c>
      <c r="G11" s="44"/>
      <c r="H11" s="8"/>
      <c r="I11" s="46" t="e">
        <f>COUNTIFS(#REF!, "Passed")</f>
        <v>#REF!</v>
      </c>
      <c r="J11" s="46" t="e">
        <f>COUNTIFS(#REF!, "Failed")</f>
        <v>#REF!</v>
      </c>
      <c r="K11" s="46" t="e">
        <f>COUNTIFS(#REF!, "Ongo")</f>
        <v>#REF!</v>
      </c>
      <c r="L11" s="46" t="e">
        <f>COUNTIFS(#REF!, "Norun")</f>
        <v>#REF!</v>
      </c>
      <c r="M11" s="46" t="e">
        <f>COUNTIFS(#REF!, "Blocked")</f>
        <v>#REF!</v>
      </c>
      <c r="N11" s="46" t="e">
        <f>COUNTIFS(#REF!, "Skip")</f>
        <v>#REF!</v>
      </c>
      <c r="O11" s="47" t="e">
        <f>SUM(I11:N11)</f>
        <v>#REF!</v>
      </c>
      <c r="P11" s="48" t="e">
        <f>(I11+J11)/(O11-N11)</f>
        <v>#REF!</v>
      </c>
      <c r="Q11" s="48" t="e">
        <f>I11/(O11-N11)</f>
        <v>#REF!</v>
      </c>
      <c r="R11" s="49" t="s">
        <v>30</v>
      </c>
      <c r="S11" s="50"/>
      <c r="T11" s="51"/>
      <c r="U11" s="27"/>
      <c r="V11" s="52"/>
    </row>
    <row r="12" spans="1:22" hidden="1">
      <c r="B12" s="21"/>
      <c r="C12" s="42"/>
      <c r="D12" s="43" t="s">
        <v>27</v>
      </c>
      <c r="E12" s="44" t="s">
        <v>28</v>
      </c>
      <c r="F12" s="45" t="s">
        <v>31</v>
      </c>
      <c r="G12" s="44"/>
      <c r="H12" s="8"/>
      <c r="I12" s="46" t="e">
        <f>COUNTIFS(#REF!, "Passed")</f>
        <v>#REF!</v>
      </c>
      <c r="J12" s="46" t="e">
        <f>COUNTIFS(#REF!, "Failed")</f>
        <v>#REF!</v>
      </c>
      <c r="K12" s="46" t="e">
        <f>COUNTIFS(#REF!, "Ongo")</f>
        <v>#REF!</v>
      </c>
      <c r="L12" s="46" t="e">
        <f>COUNTIFS(#REF!, "Norun")</f>
        <v>#REF!</v>
      </c>
      <c r="M12" s="46" t="e">
        <f>COUNTIFS(#REF!, "Blocked")</f>
        <v>#REF!</v>
      </c>
      <c r="N12" s="46" t="e">
        <f>COUNTIFS(#REF!, "Skip")</f>
        <v>#REF!</v>
      </c>
      <c r="O12" s="47" t="e">
        <f>SUM(I12:N12)</f>
        <v>#REF!</v>
      </c>
      <c r="P12" s="48" t="e">
        <f>(I12+J12)/(O12-N12)</f>
        <v>#REF!</v>
      </c>
      <c r="Q12" s="48" t="e">
        <f>I12/(O12-N12)</f>
        <v>#REF!</v>
      </c>
      <c r="R12" s="49" t="s">
        <v>32</v>
      </c>
      <c r="S12" s="50"/>
      <c r="T12" s="42"/>
      <c r="U12" s="27"/>
      <c r="V12" s="52"/>
    </row>
    <row r="13" spans="1:22" hidden="1">
      <c r="B13" s="21"/>
      <c r="C13" s="42"/>
      <c r="D13" s="43" t="s">
        <v>27</v>
      </c>
      <c r="E13" s="44" t="s">
        <v>28</v>
      </c>
      <c r="F13" s="45" t="s">
        <v>33</v>
      </c>
      <c r="G13" s="44"/>
      <c r="H13" s="8"/>
      <c r="I13" s="46" t="e">
        <f>COUNTIFS(#REF!, "Passed")</f>
        <v>#REF!</v>
      </c>
      <c r="J13" s="46" t="e">
        <f>COUNTIFS(#REF!, "Failed")</f>
        <v>#REF!</v>
      </c>
      <c r="K13" s="46" t="e">
        <f>COUNTIFS(#REF!, "Ongo")</f>
        <v>#REF!</v>
      </c>
      <c r="L13" s="46" t="e">
        <f>COUNTIFS(#REF!, "Norun")</f>
        <v>#REF!</v>
      </c>
      <c r="M13" s="46" t="e">
        <f>COUNTIFS(#REF!, "Blocked")</f>
        <v>#REF!</v>
      </c>
      <c r="N13" s="46" t="e">
        <f>COUNTIFS(#REF!, "Skip")</f>
        <v>#REF!</v>
      </c>
      <c r="O13" s="47" t="e">
        <f>SUM(I13:N13)</f>
        <v>#REF!</v>
      </c>
      <c r="P13" s="48" t="e">
        <f>(I13+J13)/(O13-N13)</f>
        <v>#REF!</v>
      </c>
      <c r="Q13" s="48" t="e">
        <f>I13/(O13-N13)</f>
        <v>#REF!</v>
      </c>
      <c r="R13" s="49" t="s">
        <v>30</v>
      </c>
      <c r="S13" s="50"/>
      <c r="T13" s="42"/>
      <c r="U13" s="27"/>
      <c r="V13" s="52"/>
    </row>
    <row r="14" spans="1:22" hidden="1">
      <c r="B14" s="21"/>
      <c r="C14" s="42"/>
      <c r="D14" s="43" t="s">
        <v>27</v>
      </c>
      <c r="E14" s="44" t="s">
        <v>28</v>
      </c>
      <c r="F14" s="45" t="s">
        <v>34</v>
      </c>
      <c r="G14" s="44"/>
      <c r="H14" s="8"/>
      <c r="I14" s="46" t="e">
        <f>COUNTIFS(#REF!, "Passed")</f>
        <v>#REF!</v>
      </c>
      <c r="J14" s="46" t="e">
        <f>COUNTIFS(#REF!, "Failed")</f>
        <v>#REF!</v>
      </c>
      <c r="K14" s="46" t="e">
        <f>COUNTIFS(#REF!, "Ongo")</f>
        <v>#REF!</v>
      </c>
      <c r="L14" s="46" t="e">
        <f>COUNTIFS(#REF!, "Norun")</f>
        <v>#REF!</v>
      </c>
      <c r="M14" s="46" t="e">
        <f>COUNTIFS(#REF!, "Blocked")</f>
        <v>#REF!</v>
      </c>
      <c r="N14" s="46" t="e">
        <f>COUNTIFS(#REF!, "Skip")</f>
        <v>#REF!</v>
      </c>
      <c r="O14" s="47" t="e">
        <f>SUM(I14:N14)</f>
        <v>#REF!</v>
      </c>
      <c r="P14" s="48" t="e">
        <f>(I14+J14)/(O14-N14)</f>
        <v>#REF!</v>
      </c>
      <c r="Q14" s="48" t="e">
        <f>I14/(O14-N14)</f>
        <v>#REF!</v>
      </c>
      <c r="R14" s="49" t="s">
        <v>30</v>
      </c>
      <c r="S14" s="50"/>
      <c r="T14" s="42"/>
      <c r="U14" s="27"/>
      <c r="V14" s="52"/>
    </row>
    <row r="15" spans="1:22" hidden="1">
      <c r="B15" s="21"/>
      <c r="C15" s="42"/>
      <c r="D15" s="43" t="s">
        <v>27</v>
      </c>
      <c r="E15" s="44" t="s">
        <v>28</v>
      </c>
      <c r="F15" s="45" t="s">
        <v>35</v>
      </c>
      <c r="G15" s="44"/>
      <c r="H15" s="8"/>
      <c r="I15" s="46" t="e">
        <f>COUNTIFS(#REF!, "Passed")</f>
        <v>#REF!</v>
      </c>
      <c r="J15" s="46" t="e">
        <f>COUNTIFS(#REF!, "Failed")</f>
        <v>#REF!</v>
      </c>
      <c r="K15" s="46" t="e">
        <f>COUNTIFS(#REF!, "Ongo")</f>
        <v>#REF!</v>
      </c>
      <c r="L15" s="46" t="e">
        <f>COUNTIFS(#REF!, "Norun")</f>
        <v>#REF!</v>
      </c>
      <c r="M15" s="46" t="e">
        <f>COUNTIFS(#REF!, "Blocked")</f>
        <v>#REF!</v>
      </c>
      <c r="N15" s="46" t="e">
        <f>COUNTIFS(#REF!, "Skip")</f>
        <v>#REF!</v>
      </c>
      <c r="O15" s="47" t="e">
        <f>SUM(I15:N15)</f>
        <v>#REF!</v>
      </c>
      <c r="P15" s="48" t="e">
        <f>(I15+J15)/(O15-N15)</f>
        <v>#REF!</v>
      </c>
      <c r="Q15" s="48" t="e">
        <f>I15/(O15-N15)</f>
        <v>#REF!</v>
      </c>
      <c r="R15" s="49" t="s">
        <v>32</v>
      </c>
      <c r="S15" s="50"/>
      <c r="T15" s="42"/>
      <c r="U15" s="27"/>
      <c r="V15" s="52" t="s">
        <v>36</v>
      </c>
    </row>
    <row r="16" spans="1:22" hidden="1">
      <c r="B16" s="21"/>
      <c r="C16" s="104"/>
      <c r="D16" s="43" t="s">
        <v>27</v>
      </c>
      <c r="E16" s="44" t="s">
        <v>28</v>
      </c>
      <c r="F16" s="45" t="s">
        <v>37</v>
      </c>
      <c r="G16" s="44"/>
      <c r="H16" s="8"/>
      <c r="I16" s="46" t="e">
        <f>COUNTIFS(#REF!, "Passed")</f>
        <v>#REF!</v>
      </c>
      <c r="J16" s="46" t="e">
        <f>COUNTIFS(#REF!, "Failed")</f>
        <v>#REF!</v>
      </c>
      <c r="K16" s="46" t="e">
        <f>COUNTIFS(#REF!, "Ongo")</f>
        <v>#REF!</v>
      </c>
      <c r="L16" s="46" t="e">
        <f>COUNTIFS(#REF!, "Norun")</f>
        <v>#REF!</v>
      </c>
      <c r="M16" s="46" t="e">
        <f>COUNTIFS(#REF!, "Blocked")</f>
        <v>#REF!</v>
      </c>
      <c r="N16" s="46" t="e">
        <f>COUNTIFS(#REF!, "Skip")</f>
        <v>#REF!</v>
      </c>
      <c r="O16" s="47" t="e">
        <f>SUM(I16:N16)</f>
        <v>#REF!</v>
      </c>
      <c r="P16" s="48" t="e">
        <f>(I16+J16)/(O16-N16)</f>
        <v>#REF!</v>
      </c>
      <c r="Q16" s="48" t="e">
        <f>I16/(O16-N16)</f>
        <v>#REF!</v>
      </c>
      <c r="R16" s="49" t="s">
        <v>30</v>
      </c>
      <c r="S16" s="50"/>
      <c r="T16" s="42"/>
      <c r="U16" s="27"/>
      <c r="V16" s="52"/>
    </row>
    <row r="17" spans="2:22" ht="18.75" hidden="1">
      <c r="B17" s="53"/>
      <c r="C17" s="54"/>
      <c r="D17" s="55" t="s">
        <v>38</v>
      </c>
      <c r="E17" s="55"/>
      <c r="F17" s="55"/>
      <c r="G17" s="56"/>
      <c r="H17" s="57"/>
      <c r="I17" s="58" t="e">
        <f>SUM(I11:I16)</f>
        <v>#REF!</v>
      </c>
      <c r="J17" s="58" t="e">
        <f>SUM(J11:J16)</f>
        <v>#REF!</v>
      </c>
      <c r="K17" s="58" t="e">
        <f>SUM(K11:K16)</f>
        <v>#REF!</v>
      </c>
      <c r="L17" s="58" t="e">
        <f>SUM(L11:L16)</f>
        <v>#REF!</v>
      </c>
      <c r="M17" s="58" t="e">
        <f>SUM(M1:M16)</f>
        <v>#REF!</v>
      </c>
      <c r="N17" s="58" t="e">
        <f>SUM(N11:N16)</f>
        <v>#REF!</v>
      </c>
      <c r="O17" s="58" t="e">
        <f>SUM(O11:O16)</f>
        <v>#REF!</v>
      </c>
      <c r="P17" s="59" t="e">
        <f>(I17+J17+M17+N17)/(O17)</f>
        <v>#REF!</v>
      </c>
      <c r="Q17" s="59" t="e">
        <f>I17/(I17+J17+N17)</f>
        <v>#REF!</v>
      </c>
      <c r="R17" s="59"/>
      <c r="S17" s="59"/>
      <c r="T17" s="59"/>
      <c r="U17" s="27"/>
      <c r="V17" s="60"/>
    </row>
    <row r="18" spans="2:22" hidden="1">
      <c r="B18" s="61"/>
      <c r="C18" s="62"/>
      <c r="D18" s="63"/>
      <c r="E18" s="63"/>
      <c r="F18" s="63"/>
      <c r="G18" s="64"/>
      <c r="H18" s="64"/>
      <c r="I18" s="63"/>
      <c r="J18" s="63"/>
      <c r="K18" s="63"/>
      <c r="L18" s="63"/>
      <c r="M18" s="63"/>
      <c r="N18" s="63"/>
      <c r="O18" s="63"/>
      <c r="P18" s="63"/>
      <c r="Q18" s="63"/>
      <c r="R18" s="65"/>
      <c r="S18" s="64"/>
      <c r="T18" s="64"/>
      <c r="U18" s="66"/>
      <c r="V18" s="67"/>
    </row>
    <row r="19" spans="2:22" hidden="1">
      <c r="B19" s="15"/>
      <c r="D19" s="106"/>
      <c r="E19" s="106"/>
      <c r="F19" s="106"/>
      <c r="G19" s="107"/>
      <c r="H19" s="107"/>
      <c r="I19" s="106"/>
      <c r="J19" s="106"/>
      <c r="K19" s="106"/>
      <c r="L19" s="106"/>
      <c r="M19" s="106"/>
      <c r="N19" s="106"/>
      <c r="O19" s="106"/>
      <c r="P19" s="106"/>
      <c r="Q19" s="106"/>
      <c r="R19" s="108"/>
      <c r="S19" s="107"/>
      <c r="T19" s="107"/>
      <c r="U19" s="107"/>
      <c r="V19" s="67"/>
    </row>
    <row r="20" spans="2:22">
      <c r="B20" s="15"/>
      <c r="D20" s="106"/>
      <c r="E20" s="106"/>
      <c r="F20" s="106"/>
      <c r="G20" s="107"/>
      <c r="H20" s="107"/>
      <c r="I20" s="106"/>
      <c r="J20" s="106"/>
      <c r="K20" s="106"/>
      <c r="L20" s="106"/>
      <c r="M20" s="106"/>
      <c r="N20" s="106"/>
      <c r="O20" s="106"/>
      <c r="P20" s="106"/>
      <c r="Q20" s="106"/>
      <c r="R20" s="108"/>
      <c r="S20" s="107"/>
      <c r="T20" s="107"/>
      <c r="U20" s="107"/>
      <c r="V20" s="67"/>
    </row>
    <row r="21" spans="2:22">
      <c r="B21" s="15"/>
      <c r="D21" s="106"/>
      <c r="E21" s="106"/>
      <c r="F21" s="106"/>
      <c r="G21" s="107"/>
      <c r="H21" s="107"/>
      <c r="I21" s="106"/>
      <c r="J21" s="106"/>
      <c r="K21" s="106"/>
      <c r="L21" s="106"/>
      <c r="M21" s="106"/>
      <c r="N21" s="106"/>
      <c r="O21" s="106"/>
      <c r="P21" s="106"/>
      <c r="Q21" s="106"/>
      <c r="R21" s="108"/>
      <c r="S21" s="107"/>
      <c r="T21" s="107"/>
      <c r="U21" s="107"/>
      <c r="V21" s="67"/>
    </row>
    <row r="22" spans="2:22" ht="18.75">
      <c r="B22" s="13" t="s">
        <v>39</v>
      </c>
      <c r="C22" s="13" t="s">
        <v>39</v>
      </c>
      <c r="D22" s="13"/>
      <c r="R22" s="14"/>
      <c r="S22" s="15"/>
      <c r="T22" s="15"/>
    </row>
    <row r="23" spans="2:22">
      <c r="B23" s="16"/>
      <c r="C23" s="17"/>
      <c r="D23" s="17"/>
      <c r="E23" s="17"/>
      <c r="F23" s="17"/>
      <c r="G23" s="17"/>
      <c r="H23" s="17"/>
      <c r="I23" s="17"/>
      <c r="J23" s="17"/>
      <c r="K23" s="17"/>
      <c r="L23" s="17"/>
      <c r="M23" s="17"/>
      <c r="N23" s="17"/>
      <c r="O23" s="17"/>
      <c r="P23" s="17"/>
      <c r="Q23" s="17"/>
      <c r="R23" s="18"/>
      <c r="S23" s="19"/>
      <c r="T23" s="19"/>
      <c r="U23" s="20"/>
    </row>
    <row r="24" spans="2:22">
      <c r="B24" s="21"/>
      <c r="C24" s="121"/>
      <c r="D24" s="122"/>
      <c r="E24" s="122"/>
      <c r="F24" s="123"/>
      <c r="G24" s="22"/>
      <c r="H24" s="22"/>
      <c r="I24" s="23"/>
      <c r="J24" s="23"/>
      <c r="K24" s="23"/>
      <c r="L24" s="23"/>
      <c r="M24" s="23"/>
      <c r="N24" s="23"/>
      <c r="O24" s="23"/>
      <c r="P24" s="23"/>
      <c r="Q24" s="24"/>
      <c r="R24" s="25"/>
      <c r="S24" s="26"/>
      <c r="T24" s="26"/>
      <c r="U24" s="27"/>
    </row>
    <row r="25" spans="2:22">
      <c r="B25" s="21"/>
      <c r="C25" s="28"/>
      <c r="D25" s="29"/>
      <c r="E25" s="29"/>
      <c r="F25" s="30"/>
      <c r="G25" s="22"/>
      <c r="H25" s="22"/>
      <c r="I25" s="23"/>
      <c r="J25" s="23"/>
      <c r="K25" s="23"/>
      <c r="L25" s="23"/>
      <c r="M25" s="23"/>
      <c r="N25" s="23"/>
      <c r="O25" s="23"/>
      <c r="P25" s="23"/>
      <c r="Q25" s="24"/>
      <c r="R25" s="31"/>
      <c r="S25" s="32"/>
      <c r="T25" s="26"/>
      <c r="U25" s="27"/>
    </row>
    <row r="26" spans="2:22" ht="27">
      <c r="B26" s="21"/>
      <c r="C26" s="33" t="s">
        <v>9</v>
      </c>
      <c r="D26" s="34" t="s">
        <v>10</v>
      </c>
      <c r="E26" s="34" t="s">
        <v>11</v>
      </c>
      <c r="F26" s="34" t="s">
        <v>12</v>
      </c>
      <c r="G26" s="35" t="s">
        <v>13</v>
      </c>
      <c r="H26" s="36" t="s">
        <v>14</v>
      </c>
      <c r="I26" s="37" t="s">
        <v>15</v>
      </c>
      <c r="J26" s="37" t="s">
        <v>16</v>
      </c>
      <c r="K26" s="37" t="s">
        <v>17</v>
      </c>
      <c r="L26" s="37" t="s">
        <v>18</v>
      </c>
      <c r="M26" s="37" t="s">
        <v>19</v>
      </c>
      <c r="N26" s="37" t="s">
        <v>20</v>
      </c>
      <c r="O26" s="37" t="s">
        <v>21</v>
      </c>
      <c r="P26" s="37" t="s">
        <v>22</v>
      </c>
      <c r="Q26" s="38" t="s">
        <v>23</v>
      </c>
      <c r="R26" s="39" t="s">
        <v>24</v>
      </c>
      <c r="S26" s="40" t="s">
        <v>25</v>
      </c>
      <c r="T26" s="41" t="s">
        <v>26</v>
      </c>
      <c r="U26" s="27"/>
    </row>
    <row r="27" spans="2:22">
      <c r="B27" s="21"/>
      <c r="C27" s="42"/>
      <c r="D27" s="43" t="s">
        <v>27</v>
      </c>
      <c r="E27" s="44" t="s">
        <v>28</v>
      </c>
      <c r="F27" s="45" t="s">
        <v>29</v>
      </c>
      <c r="G27" s="44"/>
      <c r="H27" s="8"/>
      <c r="I27" s="46" t="e">
        <f>COUNTIFS(#REF!, "Passed")</f>
        <v>#REF!</v>
      </c>
      <c r="J27" s="46" t="e">
        <f>COUNTIFS(#REF!, "Failed")</f>
        <v>#REF!</v>
      </c>
      <c r="K27" s="46" t="e">
        <f>COUNTIFS(#REF!, "Ongo")</f>
        <v>#REF!</v>
      </c>
      <c r="L27" s="46" t="e">
        <f>COUNTIFS(#REF!, "Norun")</f>
        <v>#REF!</v>
      </c>
      <c r="M27" s="46" t="e">
        <f>COUNTIFS(#REF!, "Blocked")</f>
        <v>#REF!</v>
      </c>
      <c r="N27" s="46" t="e">
        <f>COUNTIFS(#REF!, "Skip")</f>
        <v>#REF!</v>
      </c>
      <c r="O27" s="47" t="e">
        <f>SUM(I27:N27)</f>
        <v>#REF!</v>
      </c>
      <c r="P27" s="48" t="e">
        <f>(I27+J27)/(O27-N27)</f>
        <v>#REF!</v>
      </c>
      <c r="Q27" s="48" t="e">
        <f>I27/(O27-N27)</f>
        <v>#REF!</v>
      </c>
      <c r="R27" s="49" t="s">
        <v>30</v>
      </c>
      <c r="S27" s="50"/>
      <c r="T27" s="51"/>
      <c r="U27" s="27"/>
      <c r="V27" s="52"/>
    </row>
    <row r="28" spans="2:22">
      <c r="B28" s="21"/>
      <c r="C28" s="42"/>
      <c r="D28" s="43" t="s">
        <v>27</v>
      </c>
      <c r="E28" s="44" t="s">
        <v>28</v>
      </c>
      <c r="F28" s="45" t="s">
        <v>31</v>
      </c>
      <c r="G28" s="44"/>
      <c r="H28" s="8"/>
      <c r="I28" s="46" t="e">
        <f>COUNTIFS(#REF!, "Passed")</f>
        <v>#REF!</v>
      </c>
      <c r="J28" s="46" t="e">
        <f>COUNTIFS(#REF!, "Failed")</f>
        <v>#REF!</v>
      </c>
      <c r="K28" s="46" t="e">
        <f>COUNTIFS(#REF!, "Ongo")</f>
        <v>#REF!</v>
      </c>
      <c r="L28" s="46" t="e">
        <f>COUNTIFS(#REF!, "Norun")</f>
        <v>#REF!</v>
      </c>
      <c r="M28" s="46" t="e">
        <f>COUNTIFS(#REF!, "Blocked")</f>
        <v>#REF!</v>
      </c>
      <c r="N28" s="46" t="e">
        <f>COUNTIFS(#REF!, "Skip")</f>
        <v>#REF!</v>
      </c>
      <c r="O28" s="47" t="e">
        <f>SUM(I28:N28)</f>
        <v>#REF!</v>
      </c>
      <c r="P28" s="48" t="e">
        <f>(I28+J28)/(O28-N28)</f>
        <v>#REF!</v>
      </c>
      <c r="Q28" s="48" t="e">
        <f>I28/(O28-N28)</f>
        <v>#REF!</v>
      </c>
      <c r="R28" s="49" t="s">
        <v>32</v>
      </c>
      <c r="S28" s="50"/>
      <c r="T28" s="42"/>
      <c r="U28" s="27"/>
      <c r="V28" s="52"/>
    </row>
    <row r="29" spans="2:22">
      <c r="B29" s="21"/>
      <c r="C29" s="42"/>
      <c r="D29" s="43" t="s">
        <v>27</v>
      </c>
      <c r="E29" s="44" t="s">
        <v>28</v>
      </c>
      <c r="F29" s="45" t="s">
        <v>33</v>
      </c>
      <c r="G29" s="44"/>
      <c r="H29" s="8"/>
      <c r="I29" s="46" t="e">
        <f>COUNTIFS(#REF!, "Passed")</f>
        <v>#REF!</v>
      </c>
      <c r="J29" s="46" t="e">
        <f>COUNTIFS(#REF!, "Failed")</f>
        <v>#REF!</v>
      </c>
      <c r="K29" s="46" t="e">
        <f>COUNTIFS(#REF!, "Ongo")</f>
        <v>#REF!</v>
      </c>
      <c r="L29" s="46" t="e">
        <f>COUNTIFS(#REF!, "Norun")</f>
        <v>#REF!</v>
      </c>
      <c r="M29" s="46" t="e">
        <f>COUNTIFS(#REF!, "Blocked")</f>
        <v>#REF!</v>
      </c>
      <c r="N29" s="46" t="e">
        <f>COUNTIFS(#REF!, "Skip")</f>
        <v>#REF!</v>
      </c>
      <c r="O29" s="47" t="e">
        <f>SUM(I29:N29)</f>
        <v>#REF!</v>
      </c>
      <c r="P29" s="48" t="e">
        <f>(I29+J29)/(O29-N29)</f>
        <v>#REF!</v>
      </c>
      <c r="Q29" s="48" t="e">
        <f>I29/(O29-N29)</f>
        <v>#REF!</v>
      </c>
      <c r="R29" s="49" t="s">
        <v>30</v>
      </c>
      <c r="S29" s="50"/>
      <c r="T29" s="42"/>
      <c r="U29" s="27"/>
      <c r="V29" s="52"/>
    </row>
    <row r="30" spans="2:22">
      <c r="B30" s="21"/>
      <c r="C30" s="42"/>
      <c r="D30" s="43" t="s">
        <v>27</v>
      </c>
      <c r="E30" s="44" t="s">
        <v>28</v>
      </c>
      <c r="F30" s="45" t="s">
        <v>34</v>
      </c>
      <c r="G30" s="44"/>
      <c r="H30" s="8"/>
      <c r="I30" s="46" t="e">
        <f>COUNTIFS(#REF!, "Passed")</f>
        <v>#REF!</v>
      </c>
      <c r="J30" s="46" t="e">
        <f>COUNTIFS(#REF!, "Failed")</f>
        <v>#REF!</v>
      </c>
      <c r="K30" s="46" t="e">
        <f>COUNTIFS(#REF!, "Ongo")</f>
        <v>#REF!</v>
      </c>
      <c r="L30" s="46" t="e">
        <f>COUNTIFS(#REF!, "Norun")</f>
        <v>#REF!</v>
      </c>
      <c r="M30" s="46" t="e">
        <f>COUNTIFS(#REF!, "Blocked")</f>
        <v>#REF!</v>
      </c>
      <c r="N30" s="46" t="e">
        <f>COUNTIFS(#REF!, "Skip")</f>
        <v>#REF!</v>
      </c>
      <c r="O30" s="47" t="e">
        <f>SUM(I30:N30)</f>
        <v>#REF!</v>
      </c>
      <c r="P30" s="48" t="e">
        <f>(I30+J30)/(O30-N30)</f>
        <v>#REF!</v>
      </c>
      <c r="Q30" s="48" t="e">
        <f>I30/(O30-N30)</f>
        <v>#REF!</v>
      </c>
      <c r="R30" s="49" t="s">
        <v>30</v>
      </c>
      <c r="S30" s="50"/>
      <c r="T30" s="42"/>
      <c r="U30" s="27"/>
      <c r="V30" s="52"/>
    </row>
    <row r="31" spans="2:22">
      <c r="B31" s="21"/>
      <c r="C31" s="42"/>
      <c r="D31" s="43" t="s">
        <v>27</v>
      </c>
      <c r="E31" s="44" t="s">
        <v>28</v>
      </c>
      <c r="F31" s="45" t="s">
        <v>35</v>
      </c>
      <c r="G31" s="44"/>
      <c r="H31" s="8"/>
      <c r="I31" s="46" t="e">
        <f>COUNTIFS(#REF!, "Passed")</f>
        <v>#REF!</v>
      </c>
      <c r="J31" s="46" t="e">
        <f>COUNTIFS(#REF!, "Failed")</f>
        <v>#REF!</v>
      </c>
      <c r="K31" s="46" t="e">
        <f>COUNTIFS(#REF!, "Ongo")</f>
        <v>#REF!</v>
      </c>
      <c r="L31" s="46" t="e">
        <f>COUNTIFS(#REF!, "Norun")</f>
        <v>#REF!</v>
      </c>
      <c r="M31" s="46" t="e">
        <f>COUNTIFS(#REF!, "Blocked")</f>
        <v>#REF!</v>
      </c>
      <c r="N31" s="46" t="e">
        <f>COUNTIFS(#REF!, "Skip")</f>
        <v>#REF!</v>
      </c>
      <c r="O31" s="47" t="e">
        <f>SUM(I31:N31)</f>
        <v>#REF!</v>
      </c>
      <c r="P31" s="48" t="e">
        <f>(I31+J31)/(O31-N31)</f>
        <v>#REF!</v>
      </c>
      <c r="Q31" s="48" t="e">
        <f>I31/(O31-N31)</f>
        <v>#REF!</v>
      </c>
      <c r="R31" s="49" t="s">
        <v>30</v>
      </c>
      <c r="S31" s="50"/>
      <c r="T31" s="42"/>
      <c r="U31" s="27"/>
      <c r="V31" s="52" t="s">
        <v>36</v>
      </c>
    </row>
    <row r="32" spans="2:22">
      <c r="B32" s="21"/>
      <c r="C32" s="104"/>
      <c r="D32" s="43" t="s">
        <v>27</v>
      </c>
      <c r="E32" s="44" t="s">
        <v>28</v>
      </c>
      <c r="F32" s="45" t="s">
        <v>37</v>
      </c>
      <c r="G32" s="44"/>
      <c r="H32" s="8"/>
      <c r="I32" s="46" t="e">
        <f>COUNTIFS(#REF!, "Passed")</f>
        <v>#REF!</v>
      </c>
      <c r="J32" s="46" t="e">
        <f>COUNTIFS(#REF!, "Failed")</f>
        <v>#REF!</v>
      </c>
      <c r="K32" s="46" t="e">
        <f>COUNTIFS(#REF!, "Ongo")</f>
        <v>#REF!</v>
      </c>
      <c r="L32" s="46" t="e">
        <f>COUNTIFS(#REF!, "Norun")</f>
        <v>#REF!</v>
      </c>
      <c r="M32" s="46" t="e">
        <f>COUNTIFS(#REF!, "Blocked")</f>
        <v>#REF!</v>
      </c>
      <c r="N32" s="46" t="e">
        <f>COUNTIFS(#REF!, "Skip")</f>
        <v>#REF!</v>
      </c>
      <c r="O32" s="47" t="e">
        <f>SUM(I32:N32)</f>
        <v>#REF!</v>
      </c>
      <c r="P32" s="48" t="e">
        <f>(I32+J32)/(O32-N32)</f>
        <v>#REF!</v>
      </c>
      <c r="Q32" s="48" t="e">
        <f>I32/(O32-N32)</f>
        <v>#REF!</v>
      </c>
      <c r="R32" s="49" t="s">
        <v>30</v>
      </c>
      <c r="S32" s="50"/>
      <c r="T32" s="42"/>
      <c r="U32" s="27"/>
      <c r="V32" s="52"/>
    </row>
    <row r="33" spans="2:22" ht="18.75">
      <c r="B33" s="53"/>
      <c r="C33" s="54"/>
      <c r="D33" s="55" t="s">
        <v>38</v>
      </c>
      <c r="E33" s="55"/>
      <c r="F33" s="55"/>
      <c r="G33" s="56"/>
      <c r="H33" s="57"/>
      <c r="I33" s="58" t="e">
        <f>SUM(I27:I32)</f>
        <v>#REF!</v>
      </c>
      <c r="J33" s="58" t="e">
        <f>SUM(J27:J32)</f>
        <v>#REF!</v>
      </c>
      <c r="K33" s="58" t="e">
        <f>SUM(K27:K32)</f>
        <v>#REF!</v>
      </c>
      <c r="L33" s="58" t="e">
        <f>SUM(L27:L32)</f>
        <v>#REF!</v>
      </c>
      <c r="M33" s="58" t="e">
        <f>SUM(M17:M32)</f>
        <v>#REF!</v>
      </c>
      <c r="N33" s="58" t="e">
        <f>SUM(N27:N32)</f>
        <v>#REF!</v>
      </c>
      <c r="O33" s="58" t="e">
        <f>SUM(O27:O32)</f>
        <v>#REF!</v>
      </c>
      <c r="P33" s="59" t="e">
        <f>(I33+J33+M33+N33)/(O33)</f>
        <v>#REF!</v>
      </c>
      <c r="Q33" s="59" t="e">
        <f>I33/(I33+J3)</f>
        <v>#REF!</v>
      </c>
      <c r="R33" s="59"/>
      <c r="S33" s="59"/>
      <c r="T33" s="59"/>
      <c r="U33" s="27"/>
      <c r="V33" s="60"/>
    </row>
    <row r="34" spans="2:22">
      <c r="B34" s="61"/>
      <c r="C34" s="62"/>
      <c r="D34" s="63"/>
      <c r="E34" s="63"/>
      <c r="F34" s="63"/>
      <c r="G34" s="64"/>
      <c r="H34" s="64"/>
      <c r="I34" s="63"/>
      <c r="J34" s="63"/>
      <c r="K34" s="63"/>
      <c r="L34" s="63"/>
      <c r="M34" s="63"/>
      <c r="N34" s="63"/>
      <c r="O34" s="63"/>
      <c r="P34" s="63"/>
      <c r="Q34" s="63"/>
      <c r="R34" s="65"/>
      <c r="S34" s="64"/>
      <c r="T34" s="64"/>
      <c r="U34" s="66"/>
      <c r="V34" s="67"/>
    </row>
    <row r="35" spans="2:22">
      <c r="B35" s="15"/>
      <c r="D35" s="106"/>
      <c r="E35" s="106"/>
      <c r="F35" s="106"/>
      <c r="G35" s="107"/>
      <c r="H35" s="107"/>
      <c r="I35" s="106"/>
      <c r="J35" s="106"/>
      <c r="K35" s="106"/>
      <c r="L35" s="106"/>
      <c r="M35" s="106"/>
      <c r="N35" s="106"/>
      <c r="O35" s="106"/>
      <c r="P35" s="106"/>
      <c r="Q35" s="106"/>
      <c r="R35" s="108"/>
      <c r="S35" s="107"/>
      <c r="T35" s="107"/>
      <c r="U35" s="107"/>
      <c r="V35" s="67"/>
    </row>
    <row r="36" spans="2:22">
      <c r="R36" s="14"/>
    </row>
    <row r="37" spans="2:22" ht="18.75">
      <c r="B37" s="13" t="s">
        <v>40</v>
      </c>
      <c r="C37" s="13" t="s">
        <v>40</v>
      </c>
      <c r="D37" s="13"/>
      <c r="R37" s="14"/>
      <c r="S37" s="15"/>
      <c r="T37" s="15"/>
    </row>
    <row r="38" spans="2:22">
      <c r="B38" s="16"/>
      <c r="C38" s="17"/>
      <c r="D38" s="17"/>
      <c r="E38" s="17"/>
      <c r="F38" s="17"/>
      <c r="G38" s="17"/>
      <c r="H38" s="17"/>
      <c r="I38" s="17"/>
      <c r="J38" s="17"/>
      <c r="K38" s="17"/>
      <c r="L38" s="17"/>
      <c r="M38" s="17"/>
      <c r="N38" s="17"/>
      <c r="O38" s="17"/>
      <c r="P38" s="17"/>
      <c r="Q38" s="17"/>
      <c r="R38" s="18"/>
      <c r="S38" s="19"/>
      <c r="T38" s="19"/>
      <c r="U38" s="20"/>
    </row>
    <row r="39" spans="2:22">
      <c r="B39" s="21"/>
      <c r="C39" s="121"/>
      <c r="D39" s="122"/>
      <c r="E39" s="122"/>
      <c r="F39" s="123"/>
      <c r="G39" s="22"/>
      <c r="H39" s="22"/>
      <c r="I39" s="23"/>
      <c r="J39" s="23"/>
      <c r="K39" s="23"/>
      <c r="L39" s="23"/>
      <c r="M39" s="23"/>
      <c r="N39" s="23"/>
      <c r="O39" s="23"/>
      <c r="P39" s="23"/>
      <c r="Q39" s="24"/>
      <c r="R39" s="25"/>
      <c r="S39" s="26"/>
      <c r="T39" s="26"/>
      <c r="U39" s="27"/>
    </row>
    <row r="40" spans="2:22">
      <c r="B40" s="21"/>
      <c r="C40" s="28"/>
      <c r="D40" s="29"/>
      <c r="E40" s="29"/>
      <c r="F40" s="30"/>
      <c r="G40" s="22"/>
      <c r="H40" s="22"/>
      <c r="I40" s="23"/>
      <c r="J40" s="23"/>
      <c r="K40" s="23"/>
      <c r="L40" s="23"/>
      <c r="M40" s="23"/>
      <c r="N40" s="23"/>
      <c r="O40" s="23"/>
      <c r="P40" s="23"/>
      <c r="Q40" s="24"/>
      <c r="R40" s="31"/>
      <c r="S40" s="32"/>
      <c r="T40" s="26"/>
      <c r="U40" s="27"/>
    </row>
    <row r="41" spans="2:22" ht="27">
      <c r="B41" s="21"/>
      <c r="C41" s="33" t="s">
        <v>9</v>
      </c>
      <c r="D41" s="34" t="s">
        <v>10</v>
      </c>
      <c r="E41" s="34" t="s">
        <v>11</v>
      </c>
      <c r="F41" s="34" t="s">
        <v>12</v>
      </c>
      <c r="G41" s="35" t="s">
        <v>13</v>
      </c>
      <c r="H41" s="36" t="s">
        <v>14</v>
      </c>
      <c r="I41" s="37" t="s">
        <v>15</v>
      </c>
      <c r="J41" s="37" t="s">
        <v>16</v>
      </c>
      <c r="K41" s="37" t="s">
        <v>17</v>
      </c>
      <c r="L41" s="37" t="s">
        <v>18</v>
      </c>
      <c r="M41" s="37" t="s">
        <v>19</v>
      </c>
      <c r="N41" s="37" t="s">
        <v>20</v>
      </c>
      <c r="O41" s="37" t="s">
        <v>21</v>
      </c>
      <c r="P41" s="37" t="s">
        <v>22</v>
      </c>
      <c r="Q41" s="38" t="s">
        <v>23</v>
      </c>
      <c r="R41" s="39" t="s">
        <v>24</v>
      </c>
      <c r="S41" s="40" t="s">
        <v>25</v>
      </c>
      <c r="T41" s="41" t="s">
        <v>26</v>
      </c>
      <c r="U41" s="27"/>
    </row>
    <row r="42" spans="2:22">
      <c r="B42" s="21"/>
      <c r="C42" s="42"/>
      <c r="D42" s="43" t="s">
        <v>27</v>
      </c>
      <c r="E42" s="44" t="s">
        <v>28</v>
      </c>
      <c r="F42" s="45" t="s">
        <v>41</v>
      </c>
      <c r="G42" s="44"/>
      <c r="H42" s="8"/>
      <c r="I42" s="46" t="e">
        <f>COUNTIFS(#REF!, "Passed")</f>
        <v>#REF!</v>
      </c>
      <c r="J42" s="46" t="e">
        <f>COUNTIFS(#REF!, "Failed")</f>
        <v>#REF!</v>
      </c>
      <c r="K42" s="46" t="e">
        <f>COUNTIFS(#REF!, "Ongo")</f>
        <v>#REF!</v>
      </c>
      <c r="L42" s="46" t="e">
        <f>COUNTIFS(#REF!, "Norun")</f>
        <v>#REF!</v>
      </c>
      <c r="M42" s="46" t="e">
        <f>COUNTIFS(#REF!, "Blocked")</f>
        <v>#REF!</v>
      </c>
      <c r="N42" s="46" t="e">
        <f>COUNTIFS(#REF!, "Skip")</f>
        <v>#REF!</v>
      </c>
      <c r="O42" s="47" t="e">
        <f>SUM(I42:N42)</f>
        <v>#REF!</v>
      </c>
      <c r="P42" s="48" t="e">
        <f>(I42+J42)/(O42-N42)</f>
        <v>#REF!</v>
      </c>
      <c r="Q42" s="48" t="e">
        <f>I42/(O42-N42)</f>
        <v>#REF!</v>
      </c>
      <c r="R42" s="49" t="s">
        <v>30</v>
      </c>
      <c r="S42" s="50"/>
      <c r="T42" s="42"/>
      <c r="U42" s="27"/>
    </row>
    <row r="43" spans="2:22" ht="30.75">
      <c r="B43" s="21"/>
      <c r="C43" s="42"/>
      <c r="D43" s="43" t="s">
        <v>27</v>
      </c>
      <c r="E43" s="44" t="s">
        <v>28</v>
      </c>
      <c r="F43" s="45" t="s">
        <v>42</v>
      </c>
      <c r="G43" s="44"/>
      <c r="H43" s="8"/>
      <c r="I43" s="46" t="e">
        <f>COUNTIFS(#REF!, "Passed")</f>
        <v>#REF!</v>
      </c>
      <c r="J43" s="46" t="e">
        <f>COUNTIFS(#REF!, "Failed")</f>
        <v>#REF!</v>
      </c>
      <c r="K43" s="46" t="e">
        <f>COUNTIFS(#REF!, "Ongo")</f>
        <v>#REF!</v>
      </c>
      <c r="L43" s="46" t="e">
        <f>COUNTIFS(#REF!, "Norun")</f>
        <v>#REF!</v>
      </c>
      <c r="M43" s="46" t="e">
        <f>COUNTIFS(#REF!, "Blocked")</f>
        <v>#REF!</v>
      </c>
      <c r="N43" s="46" t="e">
        <f>COUNTIFS(#REF!, "Skip")</f>
        <v>#REF!</v>
      </c>
      <c r="O43" s="47" t="e">
        <f>SUM(I43:N43)</f>
        <v>#REF!</v>
      </c>
      <c r="P43" s="48" t="e">
        <f>(I43+J43)/(O43-N43)</f>
        <v>#REF!</v>
      </c>
      <c r="Q43" s="48" t="e">
        <f>I43/(O43-N43)</f>
        <v>#REF!</v>
      </c>
      <c r="R43" s="49" t="s">
        <v>30</v>
      </c>
      <c r="S43" s="50"/>
      <c r="T43" s="42"/>
      <c r="U43" s="27"/>
    </row>
    <row r="44" spans="2:22" ht="18.75">
      <c r="B44" s="53"/>
      <c r="C44" s="54"/>
      <c r="D44" s="55" t="s">
        <v>38</v>
      </c>
      <c r="E44" s="55"/>
      <c r="F44" s="55"/>
      <c r="G44" s="56"/>
      <c r="H44" s="57"/>
      <c r="I44" s="58" t="e">
        <f>SUM(I42:I43)</f>
        <v>#REF!</v>
      </c>
      <c r="J44" s="58" t="e">
        <f>SUM(J42:J43)</f>
        <v>#REF!</v>
      </c>
      <c r="K44" s="58" t="e">
        <f>SUM(K42:K43)</f>
        <v>#REF!</v>
      </c>
      <c r="L44" s="58" t="e">
        <f>SUM(L42:L43)</f>
        <v>#REF!</v>
      </c>
      <c r="M44" s="58" t="e">
        <f>SUM(M4:M43)</f>
        <v>#REF!</v>
      </c>
      <c r="N44" s="58" t="e">
        <f>SUM(N42:N43)</f>
        <v>#REF!</v>
      </c>
      <c r="O44" s="58" t="e">
        <f>SUM(O42:O43)</f>
        <v>#REF!</v>
      </c>
      <c r="P44" s="59" t="e">
        <f>(I44+J44)/(O44-N44)</f>
        <v>#REF!</v>
      </c>
      <c r="Q44" s="59" t="e">
        <f>I44/(O44-N44)</f>
        <v>#REF!</v>
      </c>
      <c r="R44" s="59"/>
      <c r="S44" s="59"/>
      <c r="T44" s="59"/>
      <c r="U44" s="27"/>
    </row>
    <row r="45" spans="2:22">
      <c r="B45" s="61"/>
      <c r="C45" s="62"/>
      <c r="D45" s="63"/>
      <c r="E45" s="63"/>
      <c r="F45" s="63"/>
      <c r="G45" s="64"/>
      <c r="H45" s="64"/>
      <c r="I45" s="63"/>
      <c r="J45" s="63"/>
      <c r="K45" s="63"/>
      <c r="L45" s="63"/>
      <c r="M45" s="63"/>
      <c r="N45" s="63"/>
      <c r="O45" s="63"/>
      <c r="P45" s="63"/>
      <c r="Q45" s="63"/>
      <c r="R45" s="65"/>
      <c r="S45" s="64"/>
      <c r="T45" s="64"/>
      <c r="U45" s="66"/>
    </row>
    <row r="46" spans="2:22">
      <c r="R46" s="14"/>
    </row>
    <row r="47" spans="2:22">
      <c r="R47" s="14"/>
    </row>
    <row r="48" spans="2:22">
      <c r="R48" s="14"/>
    </row>
    <row r="49" spans="2:21" ht="18.75">
      <c r="B49" s="13" t="s">
        <v>43</v>
      </c>
      <c r="R49" s="14"/>
      <c r="S49" s="15"/>
      <c r="T49" s="15"/>
    </row>
    <row r="50" spans="2:21">
      <c r="B50" s="16"/>
      <c r="C50" s="17"/>
      <c r="D50" s="17"/>
      <c r="E50" s="17"/>
      <c r="F50" s="17"/>
      <c r="G50" s="17"/>
      <c r="H50" s="17"/>
      <c r="I50" s="17"/>
      <c r="J50" s="17"/>
      <c r="K50" s="17"/>
      <c r="L50" s="17"/>
      <c r="M50" s="17"/>
      <c r="N50" s="17"/>
      <c r="O50" s="17"/>
      <c r="P50" s="17"/>
      <c r="Q50" s="17"/>
      <c r="R50" s="18"/>
      <c r="S50" s="19"/>
      <c r="T50" s="19"/>
      <c r="U50" s="20"/>
    </row>
    <row r="51" spans="2:21">
      <c r="B51" s="21"/>
      <c r="C51" s="121"/>
      <c r="D51" s="122"/>
      <c r="E51" s="122"/>
      <c r="F51" s="123"/>
      <c r="G51" s="22"/>
      <c r="H51" s="22"/>
      <c r="I51" s="23"/>
      <c r="J51" s="23"/>
      <c r="K51" s="23"/>
      <c r="L51" s="23"/>
      <c r="M51" s="23"/>
      <c r="N51" s="23"/>
      <c r="O51" s="23"/>
      <c r="P51" s="23"/>
      <c r="Q51" s="24"/>
      <c r="R51" s="25"/>
      <c r="S51" s="26"/>
      <c r="T51" s="26"/>
      <c r="U51" s="27"/>
    </row>
    <row r="52" spans="2:21">
      <c r="B52" s="21"/>
      <c r="C52" s="28"/>
      <c r="D52" s="29"/>
      <c r="E52" s="29"/>
      <c r="F52" s="30"/>
      <c r="G52" s="22"/>
      <c r="H52" s="22"/>
      <c r="I52" s="23"/>
      <c r="J52" s="23"/>
      <c r="K52" s="23"/>
      <c r="L52" s="23"/>
      <c r="M52" s="23"/>
      <c r="N52" s="23"/>
      <c r="O52" s="23"/>
      <c r="P52" s="23"/>
      <c r="Q52" s="24"/>
      <c r="R52" s="31"/>
      <c r="S52" s="32"/>
      <c r="T52" s="26"/>
      <c r="U52" s="27"/>
    </row>
    <row r="53" spans="2:21" ht="27">
      <c r="B53" s="21"/>
      <c r="C53" s="33" t="s">
        <v>9</v>
      </c>
      <c r="D53" s="34" t="s">
        <v>10</v>
      </c>
      <c r="E53" s="34" t="s">
        <v>11</v>
      </c>
      <c r="F53" s="34" t="s">
        <v>12</v>
      </c>
      <c r="G53" s="35" t="s">
        <v>13</v>
      </c>
      <c r="H53" s="36" t="s">
        <v>14</v>
      </c>
      <c r="I53" s="37" t="s">
        <v>15</v>
      </c>
      <c r="J53" s="37" t="s">
        <v>16</v>
      </c>
      <c r="K53" s="37" t="s">
        <v>17</v>
      </c>
      <c r="L53" s="37" t="s">
        <v>18</v>
      </c>
      <c r="M53" s="37" t="s">
        <v>19</v>
      </c>
      <c r="N53" s="37" t="s">
        <v>20</v>
      </c>
      <c r="O53" s="37" t="s">
        <v>21</v>
      </c>
      <c r="P53" s="37" t="s">
        <v>22</v>
      </c>
      <c r="Q53" s="38" t="s">
        <v>23</v>
      </c>
      <c r="R53" s="39" t="s">
        <v>24</v>
      </c>
      <c r="S53" s="40" t="s">
        <v>25</v>
      </c>
      <c r="T53" s="41" t="s">
        <v>26</v>
      </c>
      <c r="U53" s="27"/>
    </row>
    <row r="54" spans="2:21">
      <c r="B54" s="21"/>
      <c r="C54" s="42"/>
      <c r="D54" s="43" t="s">
        <v>27</v>
      </c>
      <c r="E54" s="44" t="s">
        <v>28</v>
      </c>
      <c r="F54" s="45" t="s">
        <v>41</v>
      </c>
      <c r="G54" s="44"/>
      <c r="H54" s="8"/>
      <c r="I54" s="46" t="e">
        <f>COUNTIFS(#REF!, "Passed")</f>
        <v>#REF!</v>
      </c>
      <c r="J54" s="46" t="e">
        <f>COUNTIFS(#REF!, "Failed")</f>
        <v>#REF!</v>
      </c>
      <c r="K54" s="46" t="e">
        <f>COUNTIFS(#REF!, "Ongo")</f>
        <v>#REF!</v>
      </c>
      <c r="L54" s="46" t="e">
        <f>COUNTIFS(#REF!, "Norun")</f>
        <v>#REF!</v>
      </c>
      <c r="M54" s="46" t="e">
        <f>COUNTIFS(#REF!, "Blocked")</f>
        <v>#REF!</v>
      </c>
      <c r="N54" s="46" t="e">
        <f>COUNTIFS(#REF!, "Skip")</f>
        <v>#REF!</v>
      </c>
      <c r="O54" s="47" t="e">
        <f>SUM(I54:N54)</f>
        <v>#REF!</v>
      </c>
      <c r="P54" s="48" t="e">
        <f>(I54+J54)/(O54-N54)</f>
        <v>#REF!</v>
      </c>
      <c r="Q54" s="48" t="e">
        <f>I54/(O54-N54)</f>
        <v>#REF!</v>
      </c>
      <c r="R54" s="49" t="s">
        <v>30</v>
      </c>
      <c r="S54" s="50"/>
      <c r="T54" s="42"/>
      <c r="U54" s="27"/>
    </row>
    <row r="55" spans="2:21" ht="30.75">
      <c r="B55" s="21"/>
      <c r="C55" s="42"/>
      <c r="D55" s="43" t="s">
        <v>27</v>
      </c>
      <c r="E55" s="44" t="s">
        <v>28</v>
      </c>
      <c r="F55" s="45" t="s">
        <v>42</v>
      </c>
      <c r="G55" s="44"/>
      <c r="H55" s="8"/>
      <c r="I55" s="46" t="e">
        <f>COUNTIFS(#REF!, "Passed")</f>
        <v>#REF!</v>
      </c>
      <c r="J55" s="46" t="e">
        <f>COUNTIFS(#REF!, "Failed")</f>
        <v>#REF!</v>
      </c>
      <c r="K55" s="46" t="e">
        <f>COUNTIFS(#REF!, "Ongo")</f>
        <v>#REF!</v>
      </c>
      <c r="L55" s="46" t="e">
        <f>COUNTIFS(#REF!, "Norun")</f>
        <v>#REF!</v>
      </c>
      <c r="M55" s="46" t="e">
        <f>COUNTIFS(#REF!, "Blocked")</f>
        <v>#REF!</v>
      </c>
      <c r="N55" s="46" t="e">
        <f>COUNTIFS(#REF!, "Skip")</f>
        <v>#REF!</v>
      </c>
      <c r="O55" s="47" t="e">
        <f>SUM(I55:N55)</f>
        <v>#REF!</v>
      </c>
      <c r="P55" s="48" t="e">
        <f>(I55+J55)/(O55-N55)</f>
        <v>#REF!</v>
      </c>
      <c r="Q55" s="48" t="e">
        <f>I55/(O55-N55)</f>
        <v>#REF!</v>
      </c>
      <c r="R55" s="49" t="s">
        <v>30</v>
      </c>
      <c r="S55" s="50"/>
      <c r="T55" s="42"/>
      <c r="U55" s="27"/>
    </row>
    <row r="56" spans="2:21" ht="18.75">
      <c r="B56" s="53"/>
      <c r="C56" s="54"/>
      <c r="D56" s="55" t="s">
        <v>38</v>
      </c>
      <c r="E56" s="55"/>
      <c r="F56" s="55"/>
      <c r="G56" s="56"/>
      <c r="H56" s="57"/>
      <c r="I56" s="58" t="e">
        <f>SUM(I54:I55)</f>
        <v>#REF!</v>
      </c>
      <c r="J56" s="58" t="e">
        <f>SUM(J54:J55)</f>
        <v>#REF!</v>
      </c>
      <c r="K56" s="58" t="e">
        <f>SUM(K54:K55)</f>
        <v>#REF!</v>
      </c>
      <c r="L56" s="58" t="e">
        <f>SUM(L54:L55)</f>
        <v>#REF!</v>
      </c>
      <c r="M56" s="58" t="e">
        <f>SUM(M16:M55)</f>
        <v>#REF!</v>
      </c>
      <c r="N56" s="58" t="e">
        <f>SUM(N54:N55)</f>
        <v>#REF!</v>
      </c>
      <c r="O56" s="58" t="e">
        <f>SUM(O54:O55)</f>
        <v>#REF!</v>
      </c>
      <c r="P56" s="59" t="e">
        <f>(I56+J56+M56+N56)/(O56)</f>
        <v>#REF!</v>
      </c>
      <c r="Q56" s="59" t="e">
        <f>I56/(I56+J56+N56)</f>
        <v>#REF!</v>
      </c>
      <c r="R56" s="59"/>
      <c r="S56" s="59"/>
      <c r="T56" s="59"/>
      <c r="U56" s="27"/>
    </row>
    <row r="57" spans="2:21">
      <c r="B57" s="61"/>
      <c r="C57" s="62"/>
      <c r="D57" s="63"/>
      <c r="E57" s="63"/>
      <c r="F57" s="63"/>
      <c r="G57" s="64"/>
      <c r="H57" s="64"/>
      <c r="I57" s="63"/>
      <c r="J57" s="63"/>
      <c r="K57" s="63"/>
      <c r="L57" s="63"/>
      <c r="M57" s="63"/>
      <c r="N57" s="63"/>
      <c r="O57" s="63"/>
      <c r="P57" s="63"/>
      <c r="Q57" s="63"/>
      <c r="R57" s="65"/>
      <c r="S57" s="64"/>
      <c r="T57" s="64"/>
      <c r="U57" s="66"/>
    </row>
    <row r="58" spans="2:21">
      <c r="B58" s="15"/>
      <c r="C58" s="15"/>
      <c r="D58" s="15"/>
      <c r="E58" s="15"/>
      <c r="F58" s="15"/>
      <c r="G58" s="15"/>
      <c r="H58" s="15"/>
      <c r="I58" s="15"/>
      <c r="J58" s="15"/>
      <c r="K58" s="15"/>
      <c r="L58" s="15"/>
      <c r="M58" s="15"/>
      <c r="N58" s="15"/>
      <c r="O58" s="15"/>
      <c r="P58" s="15"/>
      <c r="Q58" s="15"/>
      <c r="R58" s="68"/>
      <c r="S58" s="15"/>
      <c r="T58" s="15"/>
      <c r="U58" s="52"/>
    </row>
  </sheetData>
  <mergeCells count="7">
    <mergeCell ref="C51:F51"/>
    <mergeCell ref="B1:D1"/>
    <mergeCell ref="B2:D2"/>
    <mergeCell ref="B3:D3"/>
    <mergeCell ref="C8:F8"/>
    <mergeCell ref="C39:F39"/>
    <mergeCell ref="C24:F24"/>
  </mergeCells>
  <conditionalFormatting sqref="R6:R26 R28 R33:R58">
    <cfRule type="containsText" dxfId="89" priority="215" operator="containsText" text="On Track">
      <formula>NOT(ISERROR(SEARCH("On Track",R6)))</formula>
    </cfRule>
  </conditionalFormatting>
  <conditionalFormatting sqref="R6:R26 R28 R33:R58">
    <cfRule type="containsText" dxfId="88" priority="214" operator="containsText" text="Risk">
      <formula>NOT(ISERROR(SEARCH("Risk",R6)))</formula>
    </cfRule>
  </conditionalFormatting>
  <conditionalFormatting sqref="R6:R26 R28 R33:R58">
    <cfRule type="containsText" dxfId="87" priority="213" operator="containsText" text="Late">
      <formula>NOT(ISERROR(SEARCH("Late",R6)))</formula>
    </cfRule>
  </conditionalFormatting>
  <conditionalFormatting sqref="R17:T17">
    <cfRule type="cellIs" dxfId="86" priority="212" operator="equal">
      <formula>$B$110</formula>
    </cfRule>
  </conditionalFormatting>
  <conditionalFormatting sqref="P6:R10 P34:R35 P18:R26">
    <cfRule type="colorScale" priority="223">
      <colorScale>
        <cfvo type="min"/>
        <cfvo type="max"/>
        <color rgb="FFFCFCFF"/>
        <color rgb="FF63BE7B"/>
      </colorScale>
    </cfRule>
  </conditionalFormatting>
  <conditionalFormatting sqref="P18:R21 P34:R35">
    <cfRule type="colorScale" priority="224">
      <colorScale>
        <cfvo type="min"/>
        <cfvo type="percentile" val="50"/>
        <cfvo type="max"/>
        <color rgb="FFF8696B"/>
        <color rgb="FFFFEB84"/>
        <color rgb="FF63BE7B"/>
      </colorScale>
    </cfRule>
  </conditionalFormatting>
  <conditionalFormatting sqref="P18:R21 P34:R35">
    <cfRule type="colorScale" priority="225">
      <colorScale>
        <cfvo type="min"/>
        <cfvo type="percentile" val="50"/>
        <cfvo type="max"/>
        <color rgb="FF5A8AC6"/>
        <color rgb="FFFCFCFF"/>
        <color rgb="FFF8696B"/>
      </colorScale>
    </cfRule>
  </conditionalFormatting>
  <conditionalFormatting sqref="P18:R21 P34:R35">
    <cfRule type="colorScale" priority="226">
      <colorScale>
        <cfvo type="min"/>
        <cfvo type="percentile" val="50"/>
        <cfvo type="max"/>
        <color rgb="FFF8696B"/>
        <color rgb="FFFCFCFF"/>
        <color rgb="FF5A8AC6"/>
      </colorScale>
    </cfRule>
  </conditionalFormatting>
  <conditionalFormatting sqref="P18:R21 P34:R35">
    <cfRule type="colorScale" priority="231">
      <colorScale>
        <cfvo type="min"/>
        <cfvo type="max"/>
        <color rgb="FF63BE7B"/>
        <color rgb="FFFCFCFF"/>
      </colorScale>
    </cfRule>
  </conditionalFormatting>
  <conditionalFormatting sqref="P18:R21 P34:R35">
    <cfRule type="colorScale" priority="232">
      <colorScale>
        <cfvo type="min"/>
        <cfvo type="max"/>
        <color rgb="FFFFEF9C"/>
        <color rgb="FF63BE7B"/>
      </colorScale>
    </cfRule>
  </conditionalFormatting>
  <conditionalFormatting sqref="P18:R21 P34:R35">
    <cfRule type="colorScale" priority="233">
      <colorScale>
        <cfvo type="min"/>
        <cfvo type="max"/>
        <color rgb="FF63BE7B"/>
        <color rgb="FFFFEF9C"/>
      </colorScale>
    </cfRule>
  </conditionalFormatting>
  <conditionalFormatting sqref="R56:T56">
    <cfRule type="cellIs" dxfId="85" priority="140" operator="equal">
      <formula>$B$110</formula>
    </cfRule>
  </conditionalFormatting>
  <conditionalFormatting sqref="P57:R58 P49:R53">
    <cfRule type="colorScale" priority="141">
      <colorScale>
        <cfvo type="min"/>
        <cfvo type="max"/>
        <color rgb="FFFCFCFF"/>
        <color rgb="FF63BE7B"/>
      </colorScale>
    </cfRule>
  </conditionalFormatting>
  <conditionalFormatting sqref="P57:R58">
    <cfRule type="colorScale" priority="142">
      <colorScale>
        <cfvo type="min"/>
        <cfvo type="percentile" val="50"/>
        <cfvo type="max"/>
        <color rgb="FFF8696B"/>
        <color rgb="FFFFEB84"/>
        <color rgb="FF63BE7B"/>
      </colorScale>
    </cfRule>
  </conditionalFormatting>
  <conditionalFormatting sqref="P57:R58">
    <cfRule type="colorScale" priority="143">
      <colorScale>
        <cfvo type="min"/>
        <cfvo type="percentile" val="50"/>
        <cfvo type="max"/>
        <color rgb="FF5A8AC6"/>
        <color rgb="FFFCFCFF"/>
        <color rgb="FFF8696B"/>
      </colorScale>
    </cfRule>
  </conditionalFormatting>
  <conditionalFormatting sqref="P57:R58">
    <cfRule type="colorScale" priority="144">
      <colorScale>
        <cfvo type="min"/>
        <cfvo type="percentile" val="50"/>
        <cfvo type="max"/>
        <color rgb="FFF8696B"/>
        <color rgb="FFFCFCFF"/>
        <color rgb="FF5A8AC6"/>
      </colorScale>
    </cfRule>
  </conditionalFormatting>
  <conditionalFormatting sqref="P57:R58">
    <cfRule type="colorScale" priority="145">
      <colorScale>
        <cfvo type="min"/>
        <cfvo type="max"/>
        <color rgb="FF63BE7B"/>
        <color rgb="FFFCFCFF"/>
      </colorScale>
    </cfRule>
  </conditionalFormatting>
  <conditionalFormatting sqref="P57:R58">
    <cfRule type="colorScale" priority="146">
      <colorScale>
        <cfvo type="min"/>
        <cfvo type="max"/>
        <color rgb="FFFFEF9C"/>
        <color rgb="FF63BE7B"/>
      </colorScale>
    </cfRule>
  </conditionalFormatting>
  <conditionalFormatting sqref="P57:R58">
    <cfRule type="colorScale" priority="147">
      <colorScale>
        <cfvo type="min"/>
        <cfvo type="max"/>
        <color rgb="FF63BE7B"/>
        <color rgb="FFFFEF9C"/>
      </colorScale>
    </cfRule>
  </conditionalFormatting>
  <conditionalFormatting sqref="C54:D55 T54:T55">
    <cfRule type="colorScale" priority="353">
      <colorScale>
        <cfvo type="min"/>
        <cfvo type="percentile" val="50"/>
        <cfvo type="max"/>
        <color rgb="FFF8696B"/>
        <color rgb="FFFFEB84"/>
        <color rgb="FF63BE7B"/>
      </colorScale>
    </cfRule>
  </conditionalFormatting>
  <conditionalFormatting sqref="P54:Q55">
    <cfRule type="colorScale" priority="355">
      <colorScale>
        <cfvo type="min"/>
        <cfvo type="max"/>
        <color rgb="FFFCFCFF"/>
        <color rgb="FF63BE7B"/>
      </colorScale>
    </cfRule>
  </conditionalFormatting>
  <conditionalFormatting sqref="P54:Q55">
    <cfRule type="colorScale" priority="357">
      <colorScale>
        <cfvo type="min"/>
        <cfvo type="percentile" val="50"/>
        <cfvo type="max"/>
        <color rgb="FFF8696B"/>
        <color rgb="FFFFEB84"/>
        <color rgb="FF63BE7B"/>
      </colorScale>
    </cfRule>
  </conditionalFormatting>
  <conditionalFormatting sqref="P54:Q55">
    <cfRule type="colorScale" priority="359">
      <colorScale>
        <cfvo type="min"/>
        <cfvo type="percentile" val="50"/>
        <cfvo type="max"/>
        <color rgb="FF5A8AC6"/>
        <color rgb="FFFCFCFF"/>
        <color rgb="FFF8696B"/>
      </colorScale>
    </cfRule>
  </conditionalFormatting>
  <conditionalFormatting sqref="P54:Q55">
    <cfRule type="colorScale" priority="361">
      <colorScale>
        <cfvo type="min"/>
        <cfvo type="percentile" val="50"/>
        <cfvo type="max"/>
        <color rgb="FFF8696B"/>
        <color rgb="FFFCFCFF"/>
        <color rgb="FF5A8AC6"/>
      </colorScale>
    </cfRule>
  </conditionalFormatting>
  <conditionalFormatting sqref="P54:Q55">
    <cfRule type="colorScale" priority="363">
      <colorScale>
        <cfvo type="min"/>
        <cfvo type="percentile" val="50"/>
        <cfvo type="max"/>
        <color rgb="FF63BE7B"/>
        <color rgb="FFFCFCFF"/>
        <color rgb="FFF8696B"/>
      </colorScale>
    </cfRule>
  </conditionalFormatting>
  <conditionalFormatting sqref="P54:Q55">
    <cfRule type="colorScale" priority="365">
      <colorScale>
        <cfvo type="min"/>
        <cfvo type="max"/>
        <color rgb="FF63BE7B"/>
        <color rgb="FFFCFCFF"/>
      </colorScale>
    </cfRule>
  </conditionalFormatting>
  <conditionalFormatting sqref="P54:Q55">
    <cfRule type="colorScale" priority="367">
      <colorScale>
        <cfvo type="min"/>
        <cfvo type="max"/>
        <color rgb="FFFFEF9C"/>
        <color rgb="FF63BE7B"/>
      </colorScale>
    </cfRule>
  </conditionalFormatting>
  <conditionalFormatting sqref="P54:Q55">
    <cfRule type="colorScale" priority="369">
      <colorScale>
        <cfvo type="min"/>
        <cfvo type="max"/>
        <color rgb="FF63BE7B"/>
        <color rgb="FFFFEF9C"/>
      </colorScale>
    </cfRule>
  </conditionalFormatting>
  <conditionalFormatting sqref="C11:D16 T12:T16">
    <cfRule type="colorScale" priority="381">
      <colorScale>
        <cfvo type="min"/>
        <cfvo type="percentile" val="50"/>
        <cfvo type="max"/>
        <color rgb="FFF8696B"/>
        <color rgb="FFFFEB84"/>
        <color rgb="FF63BE7B"/>
      </colorScale>
    </cfRule>
  </conditionalFormatting>
  <conditionalFormatting sqref="P11:Q17">
    <cfRule type="colorScale" priority="385">
      <colorScale>
        <cfvo type="min"/>
        <cfvo type="max"/>
        <color rgb="FFFCFCFF"/>
        <color rgb="FF63BE7B"/>
      </colorScale>
    </cfRule>
  </conditionalFormatting>
  <conditionalFormatting sqref="P11:Q17">
    <cfRule type="colorScale" priority="387">
      <colorScale>
        <cfvo type="min"/>
        <cfvo type="percentile" val="50"/>
        <cfvo type="max"/>
        <color rgb="FFF8696B"/>
        <color rgb="FFFFEB84"/>
        <color rgb="FF63BE7B"/>
      </colorScale>
    </cfRule>
  </conditionalFormatting>
  <conditionalFormatting sqref="P11:Q17">
    <cfRule type="colorScale" priority="389">
      <colorScale>
        <cfvo type="min"/>
        <cfvo type="percentile" val="50"/>
        <cfvo type="max"/>
        <color rgb="FF5A8AC6"/>
        <color rgb="FFFCFCFF"/>
        <color rgb="FFF8696B"/>
      </colorScale>
    </cfRule>
  </conditionalFormatting>
  <conditionalFormatting sqref="P11:Q17">
    <cfRule type="colorScale" priority="391">
      <colorScale>
        <cfvo type="min"/>
        <cfvo type="percentile" val="50"/>
        <cfvo type="max"/>
        <color rgb="FFF8696B"/>
        <color rgb="FFFCFCFF"/>
        <color rgb="FF5A8AC6"/>
      </colorScale>
    </cfRule>
  </conditionalFormatting>
  <conditionalFormatting sqref="P11:Q17">
    <cfRule type="colorScale" priority="393">
      <colorScale>
        <cfvo type="min"/>
        <cfvo type="percentile" val="50"/>
        <cfvo type="max"/>
        <color rgb="FF63BE7B"/>
        <color rgb="FFFCFCFF"/>
        <color rgb="FFF8696B"/>
      </colorScale>
    </cfRule>
  </conditionalFormatting>
  <conditionalFormatting sqref="P11:Q17">
    <cfRule type="colorScale" priority="395">
      <colorScale>
        <cfvo type="min"/>
        <cfvo type="max"/>
        <color rgb="FF63BE7B"/>
        <color rgb="FFFCFCFF"/>
      </colorScale>
    </cfRule>
  </conditionalFormatting>
  <conditionalFormatting sqref="P11:Q17">
    <cfRule type="colorScale" priority="397">
      <colorScale>
        <cfvo type="min"/>
        <cfvo type="max"/>
        <color rgb="FFFFEF9C"/>
        <color rgb="FF63BE7B"/>
      </colorScale>
    </cfRule>
  </conditionalFormatting>
  <conditionalFormatting sqref="P11:Q17">
    <cfRule type="colorScale" priority="399">
      <colorScale>
        <cfvo type="min"/>
        <cfvo type="max"/>
        <color rgb="FF63BE7B"/>
        <color rgb="FFFFEF9C"/>
      </colorScale>
    </cfRule>
  </conditionalFormatting>
  <conditionalFormatting sqref="Q56">
    <cfRule type="colorScale" priority="86">
      <colorScale>
        <cfvo type="min"/>
        <cfvo type="max"/>
        <color rgb="FFFCFCFF"/>
        <color rgb="FF63BE7B"/>
      </colorScale>
    </cfRule>
  </conditionalFormatting>
  <conditionalFormatting sqref="Q56">
    <cfRule type="colorScale" priority="87">
      <colorScale>
        <cfvo type="min"/>
        <cfvo type="percentile" val="50"/>
        <cfvo type="max"/>
        <color rgb="FFF8696B"/>
        <color rgb="FFFFEB84"/>
        <color rgb="FF63BE7B"/>
      </colorScale>
    </cfRule>
  </conditionalFormatting>
  <conditionalFormatting sqref="Q56">
    <cfRule type="colorScale" priority="88">
      <colorScale>
        <cfvo type="min"/>
        <cfvo type="percentile" val="50"/>
        <cfvo type="max"/>
        <color rgb="FF5A8AC6"/>
        <color rgb="FFFCFCFF"/>
        <color rgb="FFF8696B"/>
      </colorScale>
    </cfRule>
  </conditionalFormatting>
  <conditionalFormatting sqref="Q56">
    <cfRule type="colorScale" priority="89">
      <colorScale>
        <cfvo type="min"/>
        <cfvo type="percentile" val="50"/>
        <cfvo type="max"/>
        <color rgb="FFF8696B"/>
        <color rgb="FFFCFCFF"/>
        <color rgb="FF5A8AC6"/>
      </colorScale>
    </cfRule>
  </conditionalFormatting>
  <conditionalFormatting sqref="Q56">
    <cfRule type="colorScale" priority="90">
      <colorScale>
        <cfvo type="min"/>
        <cfvo type="percentile" val="50"/>
        <cfvo type="max"/>
        <color rgb="FF63BE7B"/>
        <color rgb="FFFCFCFF"/>
        <color rgb="FFF8696B"/>
      </colorScale>
    </cfRule>
  </conditionalFormatting>
  <conditionalFormatting sqref="Q56">
    <cfRule type="colorScale" priority="91">
      <colorScale>
        <cfvo type="min"/>
        <cfvo type="max"/>
        <color rgb="FF63BE7B"/>
        <color rgb="FFFCFCFF"/>
      </colorScale>
    </cfRule>
  </conditionalFormatting>
  <conditionalFormatting sqref="Q56">
    <cfRule type="colorScale" priority="92">
      <colorScale>
        <cfvo type="min"/>
        <cfvo type="max"/>
        <color rgb="FFFFEF9C"/>
        <color rgb="FF63BE7B"/>
      </colorScale>
    </cfRule>
  </conditionalFormatting>
  <conditionalFormatting sqref="Q56">
    <cfRule type="colorScale" priority="93">
      <colorScale>
        <cfvo type="min"/>
        <cfvo type="max"/>
        <color rgb="FF63BE7B"/>
        <color rgb="FFFFEF9C"/>
      </colorScale>
    </cfRule>
  </conditionalFormatting>
  <conditionalFormatting sqref="P56">
    <cfRule type="colorScale" priority="78">
      <colorScale>
        <cfvo type="min"/>
        <cfvo type="max"/>
        <color rgb="FFFCFCFF"/>
        <color rgb="FF63BE7B"/>
      </colorScale>
    </cfRule>
  </conditionalFormatting>
  <conditionalFormatting sqref="P56">
    <cfRule type="colorScale" priority="79">
      <colorScale>
        <cfvo type="min"/>
        <cfvo type="percentile" val="50"/>
        <cfvo type="max"/>
        <color rgb="FFF8696B"/>
        <color rgb="FFFFEB84"/>
        <color rgb="FF63BE7B"/>
      </colorScale>
    </cfRule>
  </conditionalFormatting>
  <conditionalFormatting sqref="P56">
    <cfRule type="colorScale" priority="80">
      <colorScale>
        <cfvo type="min"/>
        <cfvo type="percentile" val="50"/>
        <cfvo type="max"/>
        <color rgb="FF5A8AC6"/>
        <color rgb="FFFCFCFF"/>
        <color rgb="FFF8696B"/>
      </colorScale>
    </cfRule>
  </conditionalFormatting>
  <conditionalFormatting sqref="P56">
    <cfRule type="colorScale" priority="81">
      <colorScale>
        <cfvo type="min"/>
        <cfvo type="percentile" val="50"/>
        <cfvo type="max"/>
        <color rgb="FFF8696B"/>
        <color rgb="FFFCFCFF"/>
        <color rgb="FF5A8AC6"/>
      </colorScale>
    </cfRule>
  </conditionalFormatting>
  <conditionalFormatting sqref="P56">
    <cfRule type="colorScale" priority="82">
      <colorScale>
        <cfvo type="min"/>
        <cfvo type="percentile" val="50"/>
        <cfvo type="max"/>
        <color rgb="FF63BE7B"/>
        <color rgb="FFFCFCFF"/>
        <color rgb="FFF8696B"/>
      </colorScale>
    </cfRule>
  </conditionalFormatting>
  <conditionalFormatting sqref="P56">
    <cfRule type="colorScale" priority="83">
      <colorScale>
        <cfvo type="min"/>
        <cfvo type="max"/>
        <color rgb="FF63BE7B"/>
        <color rgb="FFFCFCFF"/>
      </colorScale>
    </cfRule>
  </conditionalFormatting>
  <conditionalFormatting sqref="P56">
    <cfRule type="colorScale" priority="84">
      <colorScale>
        <cfvo type="min"/>
        <cfvo type="max"/>
        <color rgb="FFFFEF9C"/>
        <color rgb="FF63BE7B"/>
      </colorScale>
    </cfRule>
  </conditionalFormatting>
  <conditionalFormatting sqref="P56">
    <cfRule type="colorScale" priority="85">
      <colorScale>
        <cfvo type="min"/>
        <cfvo type="max"/>
        <color rgb="FF63BE7B"/>
        <color rgb="FFFFEF9C"/>
      </colorScale>
    </cfRule>
  </conditionalFormatting>
  <conditionalFormatting sqref="R44:T44">
    <cfRule type="cellIs" dxfId="84" priority="60" operator="equal">
      <formula>$B$110</formula>
    </cfRule>
  </conditionalFormatting>
  <conditionalFormatting sqref="P45:R45 P37:R41">
    <cfRule type="colorScale" priority="61">
      <colorScale>
        <cfvo type="min"/>
        <cfvo type="max"/>
        <color rgb="FFFCFCFF"/>
        <color rgb="FF63BE7B"/>
      </colorScale>
    </cfRule>
  </conditionalFormatting>
  <conditionalFormatting sqref="P45:R45">
    <cfRule type="colorScale" priority="62">
      <colorScale>
        <cfvo type="min"/>
        <cfvo type="percentile" val="50"/>
        <cfvo type="max"/>
        <color rgb="FFF8696B"/>
        <color rgb="FFFFEB84"/>
        <color rgb="FF63BE7B"/>
      </colorScale>
    </cfRule>
  </conditionalFormatting>
  <conditionalFormatting sqref="P45:R45">
    <cfRule type="colorScale" priority="63">
      <colorScale>
        <cfvo type="min"/>
        <cfvo type="percentile" val="50"/>
        <cfvo type="max"/>
        <color rgb="FF5A8AC6"/>
        <color rgb="FFFCFCFF"/>
        <color rgb="FFF8696B"/>
      </colorScale>
    </cfRule>
  </conditionalFormatting>
  <conditionalFormatting sqref="P45:R45">
    <cfRule type="colorScale" priority="64">
      <colorScale>
        <cfvo type="min"/>
        <cfvo type="percentile" val="50"/>
        <cfvo type="max"/>
        <color rgb="FFF8696B"/>
        <color rgb="FFFCFCFF"/>
        <color rgb="FF5A8AC6"/>
      </colorScale>
    </cfRule>
  </conditionalFormatting>
  <conditionalFormatting sqref="P45:R45">
    <cfRule type="colorScale" priority="65">
      <colorScale>
        <cfvo type="min"/>
        <cfvo type="max"/>
        <color rgb="FF63BE7B"/>
        <color rgb="FFFCFCFF"/>
      </colorScale>
    </cfRule>
  </conditionalFormatting>
  <conditionalFormatting sqref="P45:R45">
    <cfRule type="colorScale" priority="66">
      <colorScale>
        <cfvo type="min"/>
        <cfvo type="max"/>
        <color rgb="FFFFEF9C"/>
        <color rgb="FF63BE7B"/>
      </colorScale>
    </cfRule>
  </conditionalFormatting>
  <conditionalFormatting sqref="P45:R45">
    <cfRule type="colorScale" priority="67">
      <colorScale>
        <cfvo type="min"/>
        <cfvo type="max"/>
        <color rgb="FF63BE7B"/>
        <color rgb="FFFFEF9C"/>
      </colorScale>
    </cfRule>
  </conditionalFormatting>
  <conditionalFormatting sqref="C42:D43 T42:T43">
    <cfRule type="colorScale" priority="69">
      <colorScale>
        <cfvo type="min"/>
        <cfvo type="percentile" val="50"/>
        <cfvo type="max"/>
        <color rgb="FFF8696B"/>
        <color rgb="FFFFEB84"/>
        <color rgb="FF63BE7B"/>
      </colorScale>
    </cfRule>
  </conditionalFormatting>
  <conditionalFormatting sqref="P42:Q43">
    <cfRule type="colorScale" priority="70">
      <colorScale>
        <cfvo type="min"/>
        <cfvo type="max"/>
        <color rgb="FFFCFCFF"/>
        <color rgb="FF63BE7B"/>
      </colorScale>
    </cfRule>
  </conditionalFormatting>
  <conditionalFormatting sqref="P42:Q43">
    <cfRule type="colorScale" priority="71">
      <colorScale>
        <cfvo type="min"/>
        <cfvo type="percentile" val="50"/>
        <cfvo type="max"/>
        <color rgb="FFF8696B"/>
        <color rgb="FFFFEB84"/>
        <color rgb="FF63BE7B"/>
      </colorScale>
    </cfRule>
  </conditionalFormatting>
  <conditionalFormatting sqref="P42:Q43">
    <cfRule type="colorScale" priority="72">
      <colorScale>
        <cfvo type="min"/>
        <cfvo type="percentile" val="50"/>
        <cfvo type="max"/>
        <color rgb="FF5A8AC6"/>
        <color rgb="FFFCFCFF"/>
        <color rgb="FFF8696B"/>
      </colorScale>
    </cfRule>
  </conditionalFormatting>
  <conditionalFormatting sqref="P42:Q43">
    <cfRule type="colorScale" priority="73">
      <colorScale>
        <cfvo type="min"/>
        <cfvo type="percentile" val="50"/>
        <cfvo type="max"/>
        <color rgb="FFF8696B"/>
        <color rgb="FFFCFCFF"/>
        <color rgb="FF5A8AC6"/>
      </colorScale>
    </cfRule>
  </conditionalFormatting>
  <conditionalFormatting sqref="P42:Q43">
    <cfRule type="colorScale" priority="74">
      <colorScale>
        <cfvo type="min"/>
        <cfvo type="percentile" val="50"/>
        <cfvo type="max"/>
        <color rgb="FF63BE7B"/>
        <color rgb="FFFCFCFF"/>
        <color rgb="FFF8696B"/>
      </colorScale>
    </cfRule>
  </conditionalFormatting>
  <conditionalFormatting sqref="P42:Q43">
    <cfRule type="colorScale" priority="75">
      <colorScale>
        <cfvo type="min"/>
        <cfvo type="max"/>
        <color rgb="FF63BE7B"/>
        <color rgb="FFFCFCFF"/>
      </colorScale>
    </cfRule>
  </conditionalFormatting>
  <conditionalFormatting sqref="P42:Q43">
    <cfRule type="colorScale" priority="76">
      <colorScale>
        <cfvo type="min"/>
        <cfvo type="max"/>
        <color rgb="FFFFEF9C"/>
        <color rgb="FF63BE7B"/>
      </colorScale>
    </cfRule>
  </conditionalFormatting>
  <conditionalFormatting sqref="P42:Q43">
    <cfRule type="colorScale" priority="77">
      <colorScale>
        <cfvo type="min"/>
        <cfvo type="max"/>
        <color rgb="FF63BE7B"/>
        <color rgb="FFFFEF9C"/>
      </colorScale>
    </cfRule>
  </conditionalFormatting>
  <conditionalFormatting sqref="R33:T33">
    <cfRule type="cellIs" dxfId="83" priority="34" operator="equal">
      <formula>$B$110</formula>
    </cfRule>
  </conditionalFormatting>
  <conditionalFormatting sqref="C27:D32 T28:T32">
    <cfRule type="colorScale" priority="35">
      <colorScale>
        <cfvo type="min"/>
        <cfvo type="percentile" val="50"/>
        <cfvo type="max"/>
        <color rgb="FFF8696B"/>
        <color rgb="FFFFEB84"/>
        <color rgb="FF63BE7B"/>
      </colorScale>
    </cfRule>
  </conditionalFormatting>
  <conditionalFormatting sqref="P27:Q33">
    <cfRule type="colorScale" priority="36">
      <colorScale>
        <cfvo type="min"/>
        <cfvo type="max"/>
        <color rgb="FFFCFCFF"/>
        <color rgb="FF63BE7B"/>
      </colorScale>
    </cfRule>
  </conditionalFormatting>
  <conditionalFormatting sqref="P27:Q33">
    <cfRule type="colorScale" priority="37">
      <colorScale>
        <cfvo type="min"/>
        <cfvo type="percentile" val="50"/>
        <cfvo type="max"/>
        <color rgb="FFF8696B"/>
        <color rgb="FFFFEB84"/>
        <color rgb="FF63BE7B"/>
      </colorScale>
    </cfRule>
  </conditionalFormatting>
  <conditionalFormatting sqref="P27:Q33">
    <cfRule type="colorScale" priority="38">
      <colorScale>
        <cfvo type="min"/>
        <cfvo type="percentile" val="50"/>
        <cfvo type="max"/>
        <color rgb="FF5A8AC6"/>
        <color rgb="FFFCFCFF"/>
        <color rgb="FFF8696B"/>
      </colorScale>
    </cfRule>
  </conditionalFormatting>
  <conditionalFormatting sqref="P27:Q33">
    <cfRule type="colorScale" priority="39">
      <colorScale>
        <cfvo type="min"/>
        <cfvo type="percentile" val="50"/>
        <cfvo type="max"/>
        <color rgb="FFF8696B"/>
        <color rgb="FFFCFCFF"/>
        <color rgb="FF5A8AC6"/>
      </colorScale>
    </cfRule>
  </conditionalFormatting>
  <conditionalFormatting sqref="P27:Q33">
    <cfRule type="colorScale" priority="40">
      <colorScale>
        <cfvo type="min"/>
        <cfvo type="percentile" val="50"/>
        <cfvo type="max"/>
        <color rgb="FF63BE7B"/>
        <color rgb="FFFCFCFF"/>
        <color rgb="FFF8696B"/>
      </colorScale>
    </cfRule>
  </conditionalFormatting>
  <conditionalFormatting sqref="P27:Q33">
    <cfRule type="colorScale" priority="41">
      <colorScale>
        <cfvo type="min"/>
        <cfvo type="max"/>
        <color rgb="FF63BE7B"/>
        <color rgb="FFFCFCFF"/>
      </colorScale>
    </cfRule>
  </conditionalFormatting>
  <conditionalFormatting sqref="P27:Q33">
    <cfRule type="colorScale" priority="42">
      <colorScale>
        <cfvo type="min"/>
        <cfvo type="max"/>
        <color rgb="FFFFEF9C"/>
        <color rgb="FF63BE7B"/>
      </colorScale>
    </cfRule>
  </conditionalFormatting>
  <conditionalFormatting sqref="P27:Q33">
    <cfRule type="colorScale" priority="43">
      <colorScale>
        <cfvo type="min"/>
        <cfvo type="max"/>
        <color rgb="FF63BE7B"/>
        <color rgb="FFFFEF9C"/>
      </colorScale>
    </cfRule>
  </conditionalFormatting>
  <conditionalFormatting sqref="R27">
    <cfRule type="containsText" dxfId="82" priority="32" operator="containsText" text="On Track">
      <formula>NOT(ISERROR(SEARCH("On Track",R27)))</formula>
    </cfRule>
  </conditionalFormatting>
  <conditionalFormatting sqref="R27">
    <cfRule type="containsText" dxfId="81" priority="31" operator="containsText" text="Risk">
      <formula>NOT(ISERROR(SEARCH("Risk",R27)))</formula>
    </cfRule>
  </conditionalFormatting>
  <conditionalFormatting sqref="R27">
    <cfRule type="containsText" dxfId="80" priority="30" operator="containsText" text="Late">
      <formula>NOT(ISERROR(SEARCH("Late",R27)))</formula>
    </cfRule>
  </conditionalFormatting>
  <conditionalFormatting sqref="R27">
    <cfRule type="containsText" dxfId="79" priority="28" operator="containsText" text="On Track">
      <formula>NOT(ISERROR(SEARCH("On Track",R27)))</formula>
    </cfRule>
  </conditionalFormatting>
  <conditionalFormatting sqref="R27">
    <cfRule type="containsText" dxfId="78" priority="27" operator="containsText" text="Late">
      <formula>NOT(ISERROR(SEARCH("Late",R27)))</formula>
    </cfRule>
  </conditionalFormatting>
  <conditionalFormatting sqref="R30:R31">
    <cfRule type="containsText" dxfId="77" priority="26" operator="containsText" text="On Track">
      <formula>NOT(ISERROR(SEARCH("On Track",R30)))</formula>
    </cfRule>
  </conditionalFormatting>
  <conditionalFormatting sqref="R30:R31">
    <cfRule type="containsText" dxfId="76" priority="25" operator="containsText" text="Risk">
      <formula>NOT(ISERROR(SEARCH("Risk",R30)))</formula>
    </cfRule>
  </conditionalFormatting>
  <conditionalFormatting sqref="R30:R31">
    <cfRule type="containsText" dxfId="75" priority="24" operator="containsText" text="Late">
      <formula>NOT(ISERROR(SEARCH("Late",R30)))</formula>
    </cfRule>
  </conditionalFormatting>
  <conditionalFormatting sqref="R30:R31">
    <cfRule type="containsText" dxfId="74" priority="22" operator="containsText" text="On Track">
      <formula>NOT(ISERROR(SEARCH("On Track",R30)))</formula>
    </cfRule>
  </conditionalFormatting>
  <conditionalFormatting sqref="R30:R31">
    <cfRule type="containsText" dxfId="73" priority="21" operator="containsText" text="Late">
      <formula>NOT(ISERROR(SEARCH("Late",R30)))</formula>
    </cfRule>
  </conditionalFormatting>
  <conditionalFormatting sqref="R29">
    <cfRule type="containsText" dxfId="72" priority="20" operator="containsText" text="On Track">
      <formula>NOT(ISERROR(SEARCH("On Track",R29)))</formula>
    </cfRule>
  </conditionalFormatting>
  <conditionalFormatting sqref="R29">
    <cfRule type="containsText" dxfId="71" priority="19" operator="containsText" text="Risk">
      <formula>NOT(ISERROR(SEARCH("Risk",R29)))</formula>
    </cfRule>
  </conditionalFormatting>
  <conditionalFormatting sqref="R29">
    <cfRule type="containsText" dxfId="70" priority="18" operator="containsText" text="Late">
      <formula>NOT(ISERROR(SEARCH("Late",R29)))</formula>
    </cfRule>
  </conditionalFormatting>
  <conditionalFormatting sqref="R29">
    <cfRule type="containsText" dxfId="69" priority="16" operator="containsText" text="On Track">
      <formula>NOT(ISERROR(SEARCH("On Track",R29)))</formula>
    </cfRule>
  </conditionalFormatting>
  <conditionalFormatting sqref="R29">
    <cfRule type="containsText" dxfId="68" priority="15" operator="containsText" text="Late">
      <formula>NOT(ISERROR(SEARCH("Late",R29)))</formula>
    </cfRule>
  </conditionalFormatting>
  <conditionalFormatting sqref="R32">
    <cfRule type="containsText" dxfId="67" priority="14" operator="containsText" text="On Track">
      <formula>NOT(ISERROR(SEARCH("On Track",R32)))</formula>
    </cfRule>
  </conditionalFormatting>
  <conditionalFormatting sqref="R32">
    <cfRule type="containsText" dxfId="66" priority="13" operator="containsText" text="Risk">
      <formula>NOT(ISERROR(SEARCH("Risk",R32)))</formula>
    </cfRule>
  </conditionalFormatting>
  <conditionalFormatting sqref="R32">
    <cfRule type="containsText" dxfId="65" priority="12" operator="containsText" text="Late">
      <formula>NOT(ISERROR(SEARCH("Late",R32)))</formula>
    </cfRule>
  </conditionalFormatting>
  <conditionalFormatting sqref="R32">
    <cfRule type="containsText" dxfId="64" priority="10" operator="containsText" text="On Track">
      <formula>NOT(ISERROR(SEARCH("On Track",R32)))</formula>
    </cfRule>
  </conditionalFormatting>
  <conditionalFormatting sqref="R32">
    <cfRule type="containsText" dxfId="63" priority="9" operator="containsText" text="Late">
      <formula>NOT(ISERROR(SEARCH("Late",R32)))</formula>
    </cfRule>
  </conditionalFormatting>
  <conditionalFormatting sqref="P44:Q44">
    <cfRule type="colorScale" priority="1">
      <colorScale>
        <cfvo type="min"/>
        <cfvo type="max"/>
        <color rgb="FFFCFCFF"/>
        <color rgb="FF63BE7B"/>
      </colorScale>
    </cfRule>
  </conditionalFormatting>
  <conditionalFormatting sqref="P44:Q44">
    <cfRule type="colorScale" priority="2">
      <colorScale>
        <cfvo type="min"/>
        <cfvo type="percentile" val="50"/>
        <cfvo type="max"/>
        <color rgb="FFF8696B"/>
        <color rgb="FFFFEB84"/>
        <color rgb="FF63BE7B"/>
      </colorScale>
    </cfRule>
  </conditionalFormatting>
  <conditionalFormatting sqref="P44:Q44">
    <cfRule type="colorScale" priority="3">
      <colorScale>
        <cfvo type="min"/>
        <cfvo type="percentile" val="50"/>
        <cfvo type="max"/>
        <color rgb="FF5A8AC6"/>
        <color rgb="FFFCFCFF"/>
        <color rgb="FFF8696B"/>
      </colorScale>
    </cfRule>
  </conditionalFormatting>
  <conditionalFormatting sqref="P44:Q44">
    <cfRule type="colorScale" priority="4">
      <colorScale>
        <cfvo type="min"/>
        <cfvo type="percentile" val="50"/>
        <cfvo type="max"/>
        <color rgb="FFF8696B"/>
        <color rgb="FFFCFCFF"/>
        <color rgb="FF5A8AC6"/>
      </colorScale>
    </cfRule>
  </conditionalFormatting>
  <conditionalFormatting sqref="P44:Q44">
    <cfRule type="colorScale" priority="5">
      <colorScale>
        <cfvo type="min"/>
        <cfvo type="percentile" val="50"/>
        <cfvo type="max"/>
        <color rgb="FF63BE7B"/>
        <color rgb="FFFCFCFF"/>
        <color rgb="FFF8696B"/>
      </colorScale>
    </cfRule>
  </conditionalFormatting>
  <conditionalFormatting sqref="P44:Q44">
    <cfRule type="colorScale" priority="6">
      <colorScale>
        <cfvo type="min"/>
        <cfvo type="max"/>
        <color rgb="FF63BE7B"/>
        <color rgb="FFFCFCFF"/>
      </colorScale>
    </cfRule>
  </conditionalFormatting>
  <conditionalFormatting sqref="P44:Q44">
    <cfRule type="colorScale" priority="7">
      <colorScale>
        <cfvo type="min"/>
        <cfvo type="max"/>
        <color rgb="FFFFEF9C"/>
        <color rgb="FF63BE7B"/>
      </colorScale>
    </cfRule>
  </conditionalFormatting>
  <conditionalFormatting sqref="P44:Q44">
    <cfRule type="colorScale" priority="8">
      <colorScale>
        <cfvo type="min"/>
        <cfvo type="max"/>
        <color rgb="FF63BE7B"/>
        <color rgb="FFFFEF9C"/>
      </colorScale>
    </cfRule>
  </conditionalFormatting>
  <dataValidations count="1">
    <dataValidation type="list" allowBlank="1" showInputMessage="1" showErrorMessage="1" sqref="R54:R55 R11:R16 R42:R43 R27:R32" xr:uid="{CEC09A44-3073-413B-96F7-1B75B448C0F2}">
      <formula1>"Open, Done, Late, On Track"</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80" operator="containsText" id="{FC592081-078C-4581-8F07-F296937DEF03}">
            <xm:f>NOT(ISERROR(SEARCH($B$124,R11)))</xm:f>
            <xm:f>$B$124</xm:f>
            <x14:dxf>
              <font>
                <color theme="9" tint="0.79998168889431442"/>
              </font>
              <fill>
                <patternFill patternType="solid">
                  <bgColor theme="9" tint="-0.249977111117893"/>
                </patternFill>
              </fill>
            </x14:dxf>
          </x14:cfRule>
          <xm:sqref>R54:R55 R11:R16</xm:sqref>
        </x14:conditionalFormatting>
        <x14:conditionalFormatting xmlns:xm="http://schemas.microsoft.com/office/excel/2006/main">
          <x14:cfRule type="containsText" priority="68" operator="containsText" id="{4CB84809-DDCC-48E5-B223-4E928100D30D}">
            <xm:f>NOT(ISERROR(SEARCH($B$124,R42)))</xm:f>
            <xm:f>$B$124</xm:f>
            <x14:dxf>
              <font>
                <color theme="9" tint="0.79998168889431442"/>
              </font>
              <fill>
                <patternFill patternType="solid">
                  <bgColor theme="9" tint="-0.249977111117893"/>
                </patternFill>
              </fill>
            </x14:dxf>
          </x14:cfRule>
          <xm:sqref>R42:R43</xm:sqref>
        </x14:conditionalFormatting>
        <x14:conditionalFormatting xmlns:xm="http://schemas.microsoft.com/office/excel/2006/main">
          <x14:cfRule type="containsText" priority="33" operator="containsText" id="{3DFFB9DB-C8AC-47E7-A28C-2E5E225D9B6C}">
            <xm:f>NOT(ISERROR(SEARCH($B$124,R28)))</xm:f>
            <xm:f>$B$124</xm:f>
            <x14:dxf>
              <font>
                <color theme="9" tint="0.79998168889431442"/>
              </font>
              <fill>
                <patternFill patternType="solid">
                  <bgColor theme="9" tint="-0.249977111117893"/>
                </patternFill>
              </fill>
            </x14:dxf>
          </x14:cfRule>
          <xm:sqref>R28</xm:sqref>
        </x14:conditionalFormatting>
        <x14:conditionalFormatting xmlns:xm="http://schemas.microsoft.com/office/excel/2006/main">
          <x14:cfRule type="containsText" priority="29" operator="containsText" id="{8F596FA3-E0B6-4874-85B2-71C0C17F4FE2}">
            <xm:f>NOT(ISERROR(SEARCH($B$100,R27)))</xm:f>
            <xm:f>$B$100</xm:f>
            <x14:dxf>
              <font>
                <color theme="9" tint="0.79998168889431442"/>
              </font>
              <fill>
                <patternFill patternType="solid">
                  <bgColor theme="9" tint="-0.249977111117893"/>
                </patternFill>
              </fill>
            </x14:dxf>
          </x14:cfRule>
          <xm:sqref>R27</xm:sqref>
        </x14:conditionalFormatting>
        <x14:conditionalFormatting xmlns:xm="http://schemas.microsoft.com/office/excel/2006/main">
          <x14:cfRule type="containsText" priority="23" operator="containsText" id="{0E580B05-F36B-4EBC-A4A8-EF9DAEF05475}">
            <xm:f>NOT(ISERROR(SEARCH($B$100,R30)))</xm:f>
            <xm:f>$B$100</xm:f>
            <x14:dxf>
              <font>
                <color theme="9" tint="0.79998168889431442"/>
              </font>
              <fill>
                <patternFill patternType="solid">
                  <bgColor theme="9" tint="-0.249977111117893"/>
                </patternFill>
              </fill>
            </x14:dxf>
          </x14:cfRule>
          <xm:sqref>R30:R31</xm:sqref>
        </x14:conditionalFormatting>
        <x14:conditionalFormatting xmlns:xm="http://schemas.microsoft.com/office/excel/2006/main">
          <x14:cfRule type="containsText" priority="17" operator="containsText" id="{9E114CA4-A333-474C-B919-A88831B77826}">
            <xm:f>NOT(ISERROR(SEARCH($B$100,R29)))</xm:f>
            <xm:f>$B$100</xm:f>
            <x14:dxf>
              <font>
                <color theme="9" tint="0.79998168889431442"/>
              </font>
              <fill>
                <patternFill patternType="solid">
                  <bgColor theme="9" tint="-0.249977111117893"/>
                </patternFill>
              </fill>
            </x14:dxf>
          </x14:cfRule>
          <xm:sqref>R29</xm:sqref>
        </x14:conditionalFormatting>
        <x14:conditionalFormatting xmlns:xm="http://schemas.microsoft.com/office/excel/2006/main">
          <x14:cfRule type="containsText" priority="11" operator="containsText" id="{AD6A5E15-56C8-46AE-9705-7FF6AE1941DD}">
            <xm:f>NOT(ISERROR(SEARCH($B$100,R32)))</xm:f>
            <xm:f>$B$100</xm:f>
            <x14:dxf>
              <font>
                <color theme="9" tint="0.79998168889431442"/>
              </font>
              <fill>
                <patternFill patternType="solid">
                  <bgColor theme="9" tint="-0.249977111117893"/>
                </patternFill>
              </fill>
            </x14:dxf>
          </x14:cfRule>
          <xm:sqref>R32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3C04C-34F4-4FE5-9BDB-CE36696B355D}">
  <sheetPr>
    <tabColor theme="7" tint="0.59999389629810485"/>
  </sheetPr>
  <dimension ref="A1:R122"/>
  <sheetViews>
    <sheetView workbookViewId="0"/>
  </sheetViews>
  <sheetFormatPr defaultRowHeight="15"/>
  <cols>
    <col min="1" max="1" width="14" customWidth="1"/>
    <col min="2" max="2" width="14.85546875" customWidth="1"/>
    <col min="3" max="3" width="22.85546875" bestFit="1" customWidth="1"/>
    <col min="4" max="4" width="17.140625" customWidth="1"/>
    <col min="5" max="5" width="33.85546875" customWidth="1"/>
    <col min="6" max="6" width="15.140625" customWidth="1"/>
    <col min="7" max="7" width="38.5703125" customWidth="1"/>
    <col min="8" max="8" width="10.7109375" customWidth="1"/>
    <col min="9" max="9" width="63.7109375" customWidth="1"/>
    <col min="10" max="10" width="7.7109375" bestFit="1" customWidth="1"/>
    <col min="11" max="11" width="9" customWidth="1"/>
    <col min="12" max="13" width="9.140625" bestFit="1" customWidth="1"/>
    <col min="14" max="14" width="8" customWidth="1"/>
    <col min="15" max="15" width="6.85546875" bestFit="1" customWidth="1"/>
    <col min="16" max="16" width="9.140625" bestFit="1" customWidth="1"/>
    <col min="17" max="17" width="8.85546875" bestFit="1" customWidth="1"/>
    <col min="18" max="18" width="8.85546875" customWidth="1"/>
  </cols>
  <sheetData>
    <row r="1" spans="1:18" ht="30.75">
      <c r="A1" s="69" t="s">
        <v>44</v>
      </c>
      <c r="B1" s="69" t="s">
        <v>45</v>
      </c>
      <c r="C1" s="70" t="s">
        <v>46</v>
      </c>
      <c r="D1" s="70" t="s">
        <v>47</v>
      </c>
      <c r="E1" s="70" t="s">
        <v>48</v>
      </c>
      <c r="F1" s="70" t="s">
        <v>49</v>
      </c>
      <c r="G1" s="70" t="s">
        <v>50</v>
      </c>
      <c r="H1" s="70" t="s">
        <v>51</v>
      </c>
      <c r="I1" s="70" t="s">
        <v>52</v>
      </c>
      <c r="J1" s="6" t="s">
        <v>53</v>
      </c>
      <c r="K1" s="6" t="s">
        <v>54</v>
      </c>
      <c r="L1" s="7" t="s">
        <v>55</v>
      </c>
      <c r="M1" s="7" t="s">
        <v>56</v>
      </c>
      <c r="N1" s="6" t="s">
        <v>57</v>
      </c>
      <c r="O1" s="6" t="s">
        <v>58</v>
      </c>
      <c r="P1" s="6" t="s">
        <v>59</v>
      </c>
      <c r="Q1" s="10" t="s">
        <v>60</v>
      </c>
      <c r="R1" s="9" t="s">
        <v>61</v>
      </c>
    </row>
    <row r="2" spans="1:18">
      <c r="A2" s="127" t="s">
        <v>62</v>
      </c>
      <c r="B2" s="128"/>
      <c r="C2" s="128"/>
      <c r="D2" s="128"/>
      <c r="E2" s="128"/>
      <c r="F2" s="128"/>
      <c r="G2" s="128"/>
      <c r="H2" s="128"/>
      <c r="I2" s="128"/>
      <c r="J2" s="128"/>
      <c r="K2" s="128"/>
      <c r="L2" s="128"/>
      <c r="M2" s="128"/>
      <c r="N2" s="128"/>
      <c r="O2" s="128"/>
      <c r="P2" s="128"/>
      <c r="Q2" s="128"/>
      <c r="R2" s="128"/>
    </row>
    <row r="3" spans="1:18" ht="30.75">
      <c r="A3" s="8">
        <v>1</v>
      </c>
      <c r="B3" s="8" t="s">
        <v>63</v>
      </c>
      <c r="C3" s="8" t="s">
        <v>64</v>
      </c>
      <c r="D3" s="8" t="s">
        <v>64</v>
      </c>
      <c r="E3" s="71" t="s">
        <v>65</v>
      </c>
      <c r="F3" s="72" t="s">
        <v>66</v>
      </c>
      <c r="G3" s="72" t="s">
        <v>67</v>
      </c>
      <c r="H3" s="72" t="s">
        <v>66</v>
      </c>
      <c r="I3" s="72" t="s">
        <v>68</v>
      </c>
      <c r="J3" s="8"/>
      <c r="K3" s="8"/>
      <c r="L3" s="12" t="s">
        <v>15</v>
      </c>
      <c r="M3" s="12" t="s">
        <v>15</v>
      </c>
      <c r="N3" s="8"/>
      <c r="O3" s="8"/>
      <c r="P3" s="8"/>
      <c r="Q3" s="8"/>
      <c r="R3" s="8"/>
    </row>
    <row r="4" spans="1:18" ht="30.75">
      <c r="A4" s="8">
        <v>2</v>
      </c>
      <c r="B4" s="8"/>
      <c r="C4" s="8" t="s">
        <v>64</v>
      </c>
      <c r="D4" s="8" t="s">
        <v>64</v>
      </c>
      <c r="E4" s="8" t="s">
        <v>69</v>
      </c>
      <c r="F4" s="8"/>
      <c r="G4" s="8" t="s">
        <v>67</v>
      </c>
      <c r="H4" s="8"/>
      <c r="I4" s="8" t="s">
        <v>68</v>
      </c>
      <c r="J4" s="8"/>
      <c r="K4" s="8"/>
      <c r="L4" s="12" t="s">
        <v>15</v>
      </c>
      <c r="M4" s="12" t="s">
        <v>15</v>
      </c>
      <c r="N4" s="8"/>
      <c r="O4" s="8"/>
      <c r="P4" s="73"/>
      <c r="Q4" s="8"/>
      <c r="R4" s="8"/>
    </row>
    <row r="5" spans="1:18" ht="45.75">
      <c r="A5" s="8">
        <v>3</v>
      </c>
      <c r="B5" s="8"/>
      <c r="C5" s="8" t="s">
        <v>64</v>
      </c>
      <c r="D5" s="8" t="s">
        <v>64</v>
      </c>
      <c r="E5" s="8" t="s">
        <v>70</v>
      </c>
      <c r="F5" s="8"/>
      <c r="G5" s="8" t="s">
        <v>67</v>
      </c>
      <c r="H5" s="8"/>
      <c r="I5" s="8" t="s">
        <v>71</v>
      </c>
      <c r="J5" s="8"/>
      <c r="K5" s="8"/>
      <c r="L5" s="12" t="s">
        <v>15</v>
      </c>
      <c r="M5" s="12" t="s">
        <v>15</v>
      </c>
      <c r="N5" s="8"/>
      <c r="O5" s="8"/>
      <c r="P5" s="73"/>
      <c r="Q5" s="8"/>
      <c r="R5" s="8"/>
    </row>
    <row r="6" spans="1:18" ht="76.5">
      <c r="A6" s="8">
        <v>4</v>
      </c>
      <c r="B6" s="8"/>
      <c r="C6" s="8" t="s">
        <v>64</v>
      </c>
      <c r="D6" s="8" t="s">
        <v>72</v>
      </c>
      <c r="E6" s="8" t="s">
        <v>73</v>
      </c>
      <c r="F6" s="8"/>
      <c r="G6" s="8" t="s">
        <v>67</v>
      </c>
      <c r="H6" s="8"/>
      <c r="I6" s="8" t="s">
        <v>74</v>
      </c>
      <c r="J6" s="8"/>
      <c r="K6" s="8"/>
      <c r="L6" s="12" t="s">
        <v>15</v>
      </c>
      <c r="M6" s="12" t="s">
        <v>15</v>
      </c>
      <c r="N6" s="8"/>
      <c r="O6" s="8"/>
      <c r="P6" s="73"/>
      <c r="Q6" s="8"/>
      <c r="R6" s="8"/>
    </row>
    <row r="7" spans="1:18" ht="60.75">
      <c r="A7" s="8">
        <v>5</v>
      </c>
      <c r="B7" s="8"/>
      <c r="C7" s="8" t="s">
        <v>64</v>
      </c>
      <c r="D7" s="8" t="s">
        <v>72</v>
      </c>
      <c r="E7" s="8" t="s">
        <v>75</v>
      </c>
      <c r="F7" s="8"/>
      <c r="G7" s="8" t="s">
        <v>76</v>
      </c>
      <c r="H7" s="8"/>
      <c r="I7" s="8" t="s">
        <v>77</v>
      </c>
      <c r="J7" s="8"/>
      <c r="K7" s="8"/>
      <c r="L7" s="12" t="s">
        <v>15</v>
      </c>
      <c r="M7" s="12" t="s">
        <v>15</v>
      </c>
      <c r="N7" s="8"/>
      <c r="O7" s="8"/>
      <c r="P7" s="73"/>
      <c r="Q7" s="8"/>
      <c r="R7" s="8"/>
    </row>
    <row r="8" spans="1:18" ht="45.75">
      <c r="A8" s="8">
        <v>6</v>
      </c>
      <c r="B8" s="11"/>
      <c r="C8" s="8" t="s">
        <v>64</v>
      </c>
      <c r="D8" s="8" t="s">
        <v>72</v>
      </c>
      <c r="E8" s="11" t="s">
        <v>78</v>
      </c>
      <c r="F8" s="11"/>
      <c r="G8" s="11" t="s">
        <v>79</v>
      </c>
      <c r="H8" s="11"/>
      <c r="I8" s="11" t="s">
        <v>80</v>
      </c>
      <c r="J8" s="11"/>
      <c r="K8" s="11"/>
      <c r="L8" s="12" t="s">
        <v>15</v>
      </c>
      <c r="M8" s="12" t="s">
        <v>15</v>
      </c>
      <c r="N8" s="11"/>
      <c r="O8" s="11"/>
      <c r="P8" s="74"/>
      <c r="Q8" s="11"/>
      <c r="R8" s="11"/>
    </row>
    <row r="9" spans="1:18" ht="30.75">
      <c r="A9" s="8">
        <v>7</v>
      </c>
      <c r="B9" s="8"/>
      <c r="C9" s="8" t="s">
        <v>64</v>
      </c>
      <c r="D9" s="8" t="s">
        <v>72</v>
      </c>
      <c r="E9" s="8" t="s">
        <v>81</v>
      </c>
      <c r="F9" s="8"/>
      <c r="G9" s="8" t="s">
        <v>67</v>
      </c>
      <c r="H9" s="8"/>
      <c r="I9" s="8" t="s">
        <v>82</v>
      </c>
      <c r="J9" s="8"/>
      <c r="K9" s="8"/>
      <c r="L9" s="12" t="s">
        <v>15</v>
      </c>
      <c r="M9" s="12" t="s">
        <v>15</v>
      </c>
      <c r="N9" s="8"/>
      <c r="O9" s="8"/>
      <c r="P9" s="8"/>
      <c r="Q9" s="8"/>
      <c r="R9" s="8"/>
    </row>
    <row r="10" spans="1:18" ht="30.75">
      <c r="A10" s="8">
        <v>8</v>
      </c>
      <c r="B10" s="11"/>
      <c r="C10" s="8" t="s">
        <v>64</v>
      </c>
      <c r="D10" s="8" t="s">
        <v>72</v>
      </c>
      <c r="E10" s="11" t="s">
        <v>83</v>
      </c>
      <c r="F10" s="11"/>
      <c r="G10" s="11" t="s">
        <v>67</v>
      </c>
      <c r="H10" s="11"/>
      <c r="I10" s="11" t="s">
        <v>84</v>
      </c>
      <c r="J10" s="11"/>
      <c r="K10" s="11"/>
      <c r="L10" s="12" t="s">
        <v>15</v>
      </c>
      <c r="M10" s="12" t="s">
        <v>15</v>
      </c>
      <c r="N10" s="11"/>
      <c r="O10" s="11"/>
      <c r="P10" s="11"/>
      <c r="Q10" s="11"/>
      <c r="R10" s="11"/>
    </row>
    <row r="11" spans="1:18" ht="45.75">
      <c r="A11" s="8">
        <v>9</v>
      </c>
      <c r="B11" s="8"/>
      <c r="C11" s="8" t="s">
        <v>64</v>
      </c>
      <c r="D11" s="8" t="s">
        <v>72</v>
      </c>
      <c r="E11" s="8" t="s">
        <v>85</v>
      </c>
      <c r="F11" s="8"/>
      <c r="G11" s="8" t="s">
        <v>86</v>
      </c>
      <c r="H11" s="8"/>
      <c r="I11" s="8" t="s">
        <v>87</v>
      </c>
      <c r="J11" s="8"/>
      <c r="K11" s="8"/>
      <c r="L11" s="12" t="s">
        <v>20</v>
      </c>
      <c r="M11" s="12" t="s">
        <v>20</v>
      </c>
      <c r="N11" s="8"/>
      <c r="O11" s="8"/>
      <c r="P11" s="8"/>
      <c r="Q11" s="8"/>
      <c r="R11" s="8"/>
    </row>
    <row r="12" spans="1:18" ht="45.75">
      <c r="A12" s="8">
        <v>10</v>
      </c>
      <c r="B12" s="8"/>
      <c r="C12" s="8" t="s">
        <v>64</v>
      </c>
      <c r="D12" s="8" t="s">
        <v>88</v>
      </c>
      <c r="E12" s="8" t="s">
        <v>89</v>
      </c>
      <c r="F12" s="8" t="s">
        <v>90</v>
      </c>
      <c r="G12" s="8" t="s">
        <v>91</v>
      </c>
      <c r="H12" s="8"/>
      <c r="I12" s="8" t="s">
        <v>92</v>
      </c>
      <c r="J12" s="8"/>
      <c r="K12" s="8"/>
      <c r="L12" s="12" t="s">
        <v>15</v>
      </c>
      <c r="M12" s="12" t="s">
        <v>15</v>
      </c>
      <c r="N12" s="8"/>
      <c r="O12" s="8"/>
      <c r="P12" s="73"/>
      <c r="Q12" s="8"/>
      <c r="R12" s="8"/>
    </row>
    <row r="13" spans="1:18" ht="45.75">
      <c r="A13" s="8">
        <v>11</v>
      </c>
      <c r="B13" s="8"/>
      <c r="C13" s="8" t="s">
        <v>64</v>
      </c>
      <c r="D13" s="8" t="s">
        <v>88</v>
      </c>
      <c r="E13" s="8" t="s">
        <v>93</v>
      </c>
      <c r="F13" s="8" t="s">
        <v>90</v>
      </c>
      <c r="G13" s="8" t="s">
        <v>94</v>
      </c>
      <c r="H13" s="8"/>
      <c r="I13" s="8" t="s">
        <v>95</v>
      </c>
      <c r="J13" s="8"/>
      <c r="K13" s="8"/>
      <c r="L13" s="12" t="s">
        <v>15</v>
      </c>
      <c r="M13" s="12" t="s">
        <v>15</v>
      </c>
      <c r="N13" s="8"/>
      <c r="O13" s="8"/>
      <c r="P13" s="73"/>
      <c r="Q13" s="8"/>
      <c r="R13" s="8"/>
    </row>
    <row r="14" spans="1:18" ht="45.75">
      <c r="A14" s="8">
        <v>12</v>
      </c>
      <c r="B14" s="8"/>
      <c r="C14" s="8" t="s">
        <v>64</v>
      </c>
      <c r="D14" s="8" t="s">
        <v>88</v>
      </c>
      <c r="E14" s="8" t="s">
        <v>96</v>
      </c>
      <c r="F14" s="8" t="s">
        <v>97</v>
      </c>
      <c r="G14" s="8" t="s">
        <v>98</v>
      </c>
      <c r="H14" s="8"/>
      <c r="I14" s="8" t="s">
        <v>92</v>
      </c>
      <c r="J14" s="8"/>
      <c r="K14" s="8"/>
      <c r="L14" s="12" t="s">
        <v>15</v>
      </c>
      <c r="M14" s="12" t="s">
        <v>15</v>
      </c>
      <c r="N14" s="8"/>
      <c r="O14" s="8"/>
      <c r="P14" s="73"/>
      <c r="Q14" s="8"/>
      <c r="R14" s="8"/>
    </row>
    <row r="15" spans="1:18" ht="30.75">
      <c r="A15" s="8"/>
      <c r="B15" s="8"/>
      <c r="C15" s="8" t="s">
        <v>64</v>
      </c>
      <c r="D15" s="8" t="s">
        <v>99</v>
      </c>
      <c r="E15" s="8" t="s">
        <v>100</v>
      </c>
      <c r="F15" s="8"/>
      <c r="G15" s="8"/>
      <c r="H15" s="8"/>
      <c r="I15" s="8"/>
      <c r="J15" s="8"/>
      <c r="K15" s="8"/>
      <c r="L15" s="12" t="s">
        <v>15</v>
      </c>
      <c r="M15" s="12" t="s">
        <v>15</v>
      </c>
      <c r="N15" s="8"/>
      <c r="O15" s="8"/>
      <c r="P15" s="73"/>
      <c r="Q15" s="8"/>
      <c r="R15" s="8"/>
    </row>
    <row r="16" spans="1:18" ht="76.5">
      <c r="A16" s="8">
        <v>13</v>
      </c>
      <c r="B16" s="8"/>
      <c r="C16" s="8" t="s">
        <v>64</v>
      </c>
      <c r="D16" s="8" t="s">
        <v>99</v>
      </c>
      <c r="E16" s="8" t="s">
        <v>101</v>
      </c>
      <c r="F16" s="8"/>
      <c r="G16" s="8" t="s">
        <v>102</v>
      </c>
      <c r="H16" s="8"/>
      <c r="I16" s="8" t="s">
        <v>103</v>
      </c>
      <c r="J16" s="8"/>
      <c r="K16" s="8"/>
      <c r="L16" s="12" t="s">
        <v>15</v>
      </c>
      <c r="M16" s="12" t="s">
        <v>15</v>
      </c>
      <c r="N16" s="8"/>
      <c r="O16" s="8"/>
      <c r="P16" s="73"/>
      <c r="Q16" s="8"/>
      <c r="R16" s="8"/>
    </row>
    <row r="17" spans="1:18" ht="76.5">
      <c r="A17" s="8">
        <v>14</v>
      </c>
      <c r="B17" s="8"/>
      <c r="C17" s="8" t="s">
        <v>64</v>
      </c>
      <c r="D17" s="8" t="s">
        <v>99</v>
      </c>
      <c r="E17" s="8" t="s">
        <v>104</v>
      </c>
      <c r="F17" s="8"/>
      <c r="G17" s="8" t="s">
        <v>105</v>
      </c>
      <c r="H17" s="8"/>
      <c r="I17" s="8" t="s">
        <v>106</v>
      </c>
      <c r="J17" s="8"/>
      <c r="K17" s="8"/>
      <c r="L17" s="12" t="s">
        <v>20</v>
      </c>
      <c r="M17" s="12" t="s">
        <v>20</v>
      </c>
      <c r="N17" s="8"/>
      <c r="O17" s="8"/>
      <c r="P17" s="73"/>
      <c r="Q17" s="8"/>
      <c r="R17" s="8"/>
    </row>
    <row r="18" spans="1:18" ht="60.75">
      <c r="A18" s="8">
        <v>15</v>
      </c>
      <c r="B18" s="8"/>
      <c r="C18" s="8" t="s">
        <v>64</v>
      </c>
      <c r="D18" s="8" t="s">
        <v>99</v>
      </c>
      <c r="E18" s="8" t="s">
        <v>107</v>
      </c>
      <c r="F18" s="8"/>
      <c r="G18" s="8" t="s">
        <v>108</v>
      </c>
      <c r="H18" s="8"/>
      <c r="I18" s="8" t="s">
        <v>109</v>
      </c>
      <c r="J18" s="8"/>
      <c r="K18" s="8"/>
      <c r="L18" s="12" t="s">
        <v>15</v>
      </c>
      <c r="M18" s="12" t="s">
        <v>15</v>
      </c>
      <c r="N18" s="8"/>
      <c r="O18" s="8"/>
      <c r="P18" s="73"/>
      <c r="Q18" s="8"/>
      <c r="R18" s="8"/>
    </row>
    <row r="19" spans="1:18" ht="76.5">
      <c r="A19" s="8">
        <v>16</v>
      </c>
      <c r="B19" s="8"/>
      <c r="C19" s="8" t="s">
        <v>64</v>
      </c>
      <c r="D19" s="8" t="s">
        <v>99</v>
      </c>
      <c r="E19" s="8" t="s">
        <v>110</v>
      </c>
      <c r="F19" s="8"/>
      <c r="G19" s="8" t="s">
        <v>111</v>
      </c>
      <c r="H19" s="8"/>
      <c r="I19" s="8" t="s">
        <v>112</v>
      </c>
      <c r="J19" s="8"/>
      <c r="K19" s="8"/>
      <c r="L19" s="12" t="s">
        <v>15</v>
      </c>
      <c r="M19" s="12" t="s">
        <v>15</v>
      </c>
      <c r="N19" s="8"/>
      <c r="O19" s="8"/>
      <c r="P19" s="73"/>
      <c r="Q19" s="8"/>
      <c r="R19" s="8"/>
    </row>
    <row r="20" spans="1:18" ht="60.75">
      <c r="A20" s="8">
        <v>17</v>
      </c>
      <c r="B20" s="8"/>
      <c r="C20" s="8" t="s">
        <v>64</v>
      </c>
      <c r="D20" s="8" t="s">
        <v>99</v>
      </c>
      <c r="E20" s="8" t="s">
        <v>113</v>
      </c>
      <c r="F20" s="8"/>
      <c r="G20" s="8" t="s">
        <v>114</v>
      </c>
      <c r="H20" s="8"/>
      <c r="I20" s="8" t="s">
        <v>112</v>
      </c>
      <c r="J20" s="8"/>
      <c r="K20" s="8"/>
      <c r="L20" s="12" t="s">
        <v>15</v>
      </c>
      <c r="M20" s="12" t="s">
        <v>15</v>
      </c>
      <c r="N20" s="8"/>
      <c r="O20" s="8"/>
      <c r="P20" s="73"/>
      <c r="Q20" s="8"/>
      <c r="R20" s="8"/>
    </row>
    <row r="21" spans="1:18" ht="60.75">
      <c r="A21" s="8">
        <v>18</v>
      </c>
      <c r="B21" s="8"/>
      <c r="C21" s="8" t="s">
        <v>64</v>
      </c>
      <c r="D21" s="8" t="s">
        <v>99</v>
      </c>
      <c r="E21" s="8" t="s">
        <v>115</v>
      </c>
      <c r="F21" s="8"/>
      <c r="G21" s="8" t="s">
        <v>116</v>
      </c>
      <c r="H21" s="8"/>
      <c r="I21" s="8" t="s">
        <v>117</v>
      </c>
      <c r="J21" s="8"/>
      <c r="K21" s="8"/>
      <c r="L21" s="12" t="s">
        <v>20</v>
      </c>
      <c r="M21" s="12" t="s">
        <v>20</v>
      </c>
      <c r="N21" s="8"/>
      <c r="O21" s="8"/>
      <c r="P21" s="73"/>
      <c r="Q21" s="8"/>
      <c r="R21" s="8"/>
    </row>
    <row r="22" spans="1:18" ht="91.5">
      <c r="A22" s="8">
        <v>19</v>
      </c>
      <c r="B22" s="8"/>
      <c r="C22" s="8" t="s">
        <v>64</v>
      </c>
      <c r="D22" s="8" t="s">
        <v>99</v>
      </c>
      <c r="E22" s="8" t="s">
        <v>118</v>
      </c>
      <c r="F22" s="8"/>
      <c r="G22" s="8" t="s">
        <v>119</v>
      </c>
      <c r="H22" s="8"/>
      <c r="I22" s="8" t="s">
        <v>120</v>
      </c>
      <c r="J22" s="8"/>
      <c r="K22" s="8"/>
      <c r="L22" s="12" t="s">
        <v>15</v>
      </c>
      <c r="M22" s="12" t="s">
        <v>15</v>
      </c>
      <c r="N22" s="8"/>
      <c r="O22" s="8"/>
      <c r="P22" s="73"/>
      <c r="Q22" s="8"/>
      <c r="R22" s="8"/>
    </row>
    <row r="23" spans="1:18" ht="76.5">
      <c r="A23" s="8">
        <v>20</v>
      </c>
      <c r="B23" s="8"/>
      <c r="C23" s="8" t="s">
        <v>64</v>
      </c>
      <c r="D23" s="8" t="s">
        <v>99</v>
      </c>
      <c r="E23" s="8" t="s">
        <v>121</v>
      </c>
      <c r="F23" s="8"/>
      <c r="G23" s="8" t="s">
        <v>122</v>
      </c>
      <c r="H23" s="8"/>
      <c r="I23" s="8" t="s">
        <v>123</v>
      </c>
      <c r="J23" s="8"/>
      <c r="K23" s="8"/>
      <c r="L23" s="12" t="s">
        <v>15</v>
      </c>
      <c r="M23" s="12" t="s">
        <v>15</v>
      </c>
      <c r="N23" s="8"/>
      <c r="O23" s="8"/>
      <c r="P23" s="73"/>
      <c r="Q23" s="8"/>
      <c r="R23" s="8"/>
    </row>
    <row r="24" spans="1:18" ht="76.5">
      <c r="A24" s="8">
        <v>21</v>
      </c>
      <c r="B24" s="8"/>
      <c r="C24" s="8" t="s">
        <v>64</v>
      </c>
      <c r="D24" s="8" t="s">
        <v>99</v>
      </c>
      <c r="E24" s="8" t="s">
        <v>124</v>
      </c>
      <c r="F24" s="8"/>
      <c r="G24" s="8" t="s">
        <v>125</v>
      </c>
      <c r="H24" s="8"/>
      <c r="I24" s="8" t="s">
        <v>126</v>
      </c>
      <c r="J24" s="8"/>
      <c r="K24" s="8"/>
      <c r="L24" s="12" t="s">
        <v>15</v>
      </c>
      <c r="M24" s="12" t="s">
        <v>15</v>
      </c>
      <c r="N24" s="8"/>
      <c r="O24" s="8"/>
      <c r="P24" s="73"/>
      <c r="Q24" s="8"/>
      <c r="R24" s="8"/>
    </row>
    <row r="25" spans="1:18" ht="76.5">
      <c r="A25" s="8">
        <v>22</v>
      </c>
      <c r="B25" s="8"/>
      <c r="C25" s="8" t="s">
        <v>64</v>
      </c>
      <c r="D25" s="8" t="s">
        <v>99</v>
      </c>
      <c r="E25" s="8" t="s">
        <v>127</v>
      </c>
      <c r="F25" s="8"/>
      <c r="G25" s="8" t="s">
        <v>128</v>
      </c>
      <c r="H25" s="8"/>
      <c r="I25" s="8" t="s">
        <v>129</v>
      </c>
      <c r="J25" s="8"/>
      <c r="K25" s="8"/>
      <c r="L25" s="12" t="s">
        <v>15</v>
      </c>
      <c r="M25" s="12" t="s">
        <v>15</v>
      </c>
      <c r="N25" s="8"/>
      <c r="O25" s="8"/>
      <c r="P25" s="73"/>
      <c r="Q25" s="8"/>
      <c r="R25" s="8"/>
    </row>
    <row r="26" spans="1:18" ht="30.75">
      <c r="A26" s="8"/>
      <c r="B26" s="8"/>
      <c r="C26" s="8"/>
      <c r="D26" s="8"/>
      <c r="E26" s="8" t="s">
        <v>130</v>
      </c>
      <c r="F26" s="8"/>
      <c r="G26" s="8"/>
      <c r="H26" s="8"/>
      <c r="I26" s="8"/>
      <c r="J26" s="8"/>
      <c r="K26" s="8"/>
      <c r="L26" s="12" t="s">
        <v>15</v>
      </c>
      <c r="M26" s="12" t="s">
        <v>15</v>
      </c>
      <c r="N26" s="8"/>
      <c r="O26" s="8"/>
      <c r="P26" s="73"/>
      <c r="Q26" s="8"/>
      <c r="R26" s="8"/>
    </row>
    <row r="27" spans="1:18" ht="60.75">
      <c r="A27" s="8">
        <v>23</v>
      </c>
      <c r="B27" s="8"/>
      <c r="C27" s="8" t="s">
        <v>64</v>
      </c>
      <c r="D27" s="8" t="s">
        <v>99</v>
      </c>
      <c r="E27" s="8" t="s">
        <v>131</v>
      </c>
      <c r="F27" s="8"/>
      <c r="G27" s="8" t="s">
        <v>132</v>
      </c>
      <c r="H27" s="8"/>
      <c r="I27" s="8" t="s">
        <v>133</v>
      </c>
      <c r="J27" s="8"/>
      <c r="K27" s="8"/>
      <c r="L27" s="12" t="s">
        <v>15</v>
      </c>
      <c r="M27" s="12" t="s">
        <v>15</v>
      </c>
      <c r="N27" s="8"/>
      <c r="O27" s="8"/>
      <c r="P27" s="73"/>
      <c r="Q27" s="8"/>
      <c r="R27" s="8"/>
    </row>
    <row r="28" spans="1:18" ht="76.5">
      <c r="A28" s="8">
        <v>24</v>
      </c>
      <c r="B28" s="8"/>
      <c r="C28" s="8" t="s">
        <v>64</v>
      </c>
      <c r="D28" s="8" t="s">
        <v>99</v>
      </c>
      <c r="E28" s="8" t="s">
        <v>134</v>
      </c>
      <c r="F28" s="8"/>
      <c r="G28" s="8" t="s">
        <v>135</v>
      </c>
      <c r="H28" s="8"/>
      <c r="I28" s="8" t="s">
        <v>136</v>
      </c>
      <c r="J28" s="8"/>
      <c r="K28" s="8"/>
      <c r="L28" s="12" t="s">
        <v>15</v>
      </c>
      <c r="M28" s="12" t="s">
        <v>15</v>
      </c>
      <c r="N28" s="8"/>
      <c r="O28" s="8"/>
      <c r="P28" s="73"/>
      <c r="Q28" s="8"/>
      <c r="R28" s="8"/>
    </row>
    <row r="29" spans="1:18" ht="60.75">
      <c r="A29" s="8">
        <v>25</v>
      </c>
      <c r="B29" s="8"/>
      <c r="C29" s="8" t="s">
        <v>64</v>
      </c>
      <c r="D29" s="8" t="s">
        <v>99</v>
      </c>
      <c r="E29" s="8" t="s">
        <v>137</v>
      </c>
      <c r="F29" s="8"/>
      <c r="G29" s="8" t="s">
        <v>138</v>
      </c>
      <c r="H29" s="8"/>
      <c r="I29" s="8" t="s">
        <v>139</v>
      </c>
      <c r="J29" s="8"/>
      <c r="K29" s="8"/>
      <c r="L29" s="12" t="s">
        <v>20</v>
      </c>
      <c r="M29" s="12" t="s">
        <v>20</v>
      </c>
      <c r="N29" s="8"/>
      <c r="O29" s="8"/>
      <c r="P29" s="73"/>
      <c r="Q29" s="8"/>
      <c r="R29" s="8"/>
    </row>
    <row r="30" spans="1:18" ht="91.5">
      <c r="A30" s="8">
        <v>26</v>
      </c>
      <c r="B30" s="8"/>
      <c r="C30" s="8" t="s">
        <v>64</v>
      </c>
      <c r="D30" s="8" t="s">
        <v>99</v>
      </c>
      <c r="E30" s="8" t="s">
        <v>140</v>
      </c>
      <c r="F30" s="8"/>
      <c r="G30" s="8" t="s">
        <v>141</v>
      </c>
      <c r="H30" s="8"/>
      <c r="I30" s="75" t="s">
        <v>142</v>
      </c>
      <c r="J30" s="8"/>
      <c r="K30" s="8"/>
      <c r="L30" s="12" t="s">
        <v>15</v>
      </c>
      <c r="M30" s="12" t="s">
        <v>15</v>
      </c>
      <c r="N30" s="8"/>
      <c r="O30" s="8"/>
      <c r="P30" s="73"/>
      <c r="Q30" s="8"/>
      <c r="R30" s="8"/>
    </row>
    <row r="31" spans="1:18" ht="91.5">
      <c r="A31" s="8">
        <v>27</v>
      </c>
      <c r="B31" s="8"/>
      <c r="C31" s="8" t="s">
        <v>64</v>
      </c>
      <c r="D31" s="8" t="s">
        <v>99</v>
      </c>
      <c r="E31" s="8" t="s">
        <v>143</v>
      </c>
      <c r="F31" s="8"/>
      <c r="G31" s="8" t="s">
        <v>141</v>
      </c>
      <c r="H31" s="8"/>
      <c r="I31" s="8" t="s">
        <v>144</v>
      </c>
      <c r="J31" s="8"/>
      <c r="K31" s="8"/>
      <c r="L31" s="12" t="s">
        <v>15</v>
      </c>
      <c r="M31" s="12" t="s">
        <v>15</v>
      </c>
      <c r="N31" s="8"/>
      <c r="O31" s="8"/>
      <c r="P31" s="73"/>
      <c r="Q31" s="8"/>
      <c r="R31" s="8"/>
    </row>
    <row r="32" spans="1:18" ht="106.5">
      <c r="A32" s="8">
        <v>28</v>
      </c>
      <c r="B32" s="8"/>
      <c r="C32" s="8" t="s">
        <v>64</v>
      </c>
      <c r="D32" s="8" t="s">
        <v>99</v>
      </c>
      <c r="E32" s="8" t="s">
        <v>145</v>
      </c>
      <c r="F32" s="8"/>
      <c r="G32" s="8" t="s">
        <v>146</v>
      </c>
      <c r="H32" s="8"/>
      <c r="I32" s="8" t="s">
        <v>147</v>
      </c>
      <c r="J32" s="8"/>
      <c r="K32" s="8"/>
      <c r="L32" s="12" t="s">
        <v>15</v>
      </c>
      <c r="M32" s="12" t="s">
        <v>15</v>
      </c>
      <c r="N32" s="8"/>
      <c r="O32" s="8"/>
      <c r="P32" s="73"/>
      <c r="Q32" s="8"/>
      <c r="R32" s="8"/>
    </row>
    <row r="33" spans="1:18" ht="106.5">
      <c r="A33" s="8">
        <v>29</v>
      </c>
      <c r="B33" s="8"/>
      <c r="C33" s="8" t="s">
        <v>64</v>
      </c>
      <c r="D33" s="8" t="s">
        <v>99</v>
      </c>
      <c r="E33" s="8" t="s">
        <v>148</v>
      </c>
      <c r="F33" s="8"/>
      <c r="G33" s="8" t="s">
        <v>149</v>
      </c>
      <c r="H33" s="8"/>
      <c r="I33" s="8" t="s">
        <v>150</v>
      </c>
      <c r="J33" s="8"/>
      <c r="K33" s="8"/>
      <c r="L33" s="12" t="s">
        <v>15</v>
      </c>
      <c r="M33" s="12" t="s">
        <v>15</v>
      </c>
      <c r="N33" s="8"/>
      <c r="O33" s="8"/>
      <c r="P33" s="73"/>
      <c r="Q33" s="8"/>
      <c r="R33" s="8"/>
    </row>
    <row r="34" spans="1:18" ht="106.5">
      <c r="A34" s="8">
        <v>30</v>
      </c>
      <c r="B34" s="8"/>
      <c r="C34" s="8" t="s">
        <v>64</v>
      </c>
      <c r="D34" s="8" t="s">
        <v>99</v>
      </c>
      <c r="E34" s="8" t="s">
        <v>151</v>
      </c>
      <c r="F34" s="8"/>
      <c r="G34" s="8" t="s">
        <v>152</v>
      </c>
      <c r="H34" s="8"/>
      <c r="I34" s="8" t="s">
        <v>153</v>
      </c>
      <c r="J34" s="8"/>
      <c r="K34" s="8"/>
      <c r="L34" s="12" t="s">
        <v>15</v>
      </c>
      <c r="M34" s="12" t="s">
        <v>15</v>
      </c>
      <c r="N34" s="8"/>
      <c r="O34" s="8"/>
      <c r="P34" s="73"/>
      <c r="Q34" s="8"/>
      <c r="R34" s="8"/>
    </row>
    <row r="35" spans="1:18" ht="106.5">
      <c r="A35" s="8">
        <v>31</v>
      </c>
      <c r="B35" s="8"/>
      <c r="C35" s="8" t="s">
        <v>64</v>
      </c>
      <c r="D35" s="8" t="s">
        <v>99</v>
      </c>
      <c r="E35" s="8" t="s">
        <v>154</v>
      </c>
      <c r="F35" s="8"/>
      <c r="G35" s="8" t="s">
        <v>155</v>
      </c>
      <c r="H35" s="8"/>
      <c r="I35" s="8" t="s">
        <v>156</v>
      </c>
      <c r="J35" s="8"/>
      <c r="K35" s="8"/>
      <c r="L35" s="12" t="s">
        <v>15</v>
      </c>
      <c r="M35" s="12" t="s">
        <v>15</v>
      </c>
      <c r="N35" s="8"/>
      <c r="O35" s="8"/>
      <c r="P35" s="73"/>
      <c r="Q35" s="8"/>
      <c r="R35" s="8"/>
    </row>
    <row r="36" spans="1:18" ht="91.5">
      <c r="A36" s="8">
        <v>32</v>
      </c>
      <c r="B36" s="8"/>
      <c r="C36" s="8" t="s">
        <v>64</v>
      </c>
      <c r="D36" s="8" t="s">
        <v>99</v>
      </c>
      <c r="E36" s="8" t="s">
        <v>157</v>
      </c>
      <c r="F36" s="8"/>
      <c r="G36" s="8" t="s">
        <v>158</v>
      </c>
      <c r="H36" s="8"/>
      <c r="I36" s="8" t="s">
        <v>159</v>
      </c>
      <c r="J36" s="8"/>
      <c r="K36" s="8"/>
      <c r="L36" s="12" t="s">
        <v>15</v>
      </c>
      <c r="M36" s="12" t="s">
        <v>15</v>
      </c>
      <c r="N36" s="8"/>
      <c r="O36" s="8"/>
      <c r="P36" s="73"/>
      <c r="Q36" s="8"/>
      <c r="R36" s="8"/>
    </row>
    <row r="37" spans="1:18" ht="106.5">
      <c r="A37" s="8">
        <v>33</v>
      </c>
      <c r="B37" s="8"/>
      <c r="C37" s="8" t="s">
        <v>64</v>
      </c>
      <c r="D37" s="8" t="s">
        <v>99</v>
      </c>
      <c r="E37" s="8" t="s">
        <v>160</v>
      </c>
      <c r="F37" s="8"/>
      <c r="G37" s="8" t="s">
        <v>161</v>
      </c>
      <c r="H37" s="8"/>
      <c r="I37" s="8" t="s">
        <v>162</v>
      </c>
      <c r="J37" s="8"/>
      <c r="K37" s="8"/>
      <c r="L37" s="12" t="s">
        <v>15</v>
      </c>
      <c r="M37" s="12" t="s">
        <v>15</v>
      </c>
      <c r="N37" s="8"/>
      <c r="O37" s="8"/>
      <c r="P37" s="73"/>
      <c r="Q37" s="8"/>
      <c r="R37" s="8"/>
    </row>
    <row r="38" spans="1:18" ht="106.5">
      <c r="A38" s="8">
        <v>34</v>
      </c>
      <c r="B38" s="8"/>
      <c r="C38" s="8" t="s">
        <v>64</v>
      </c>
      <c r="D38" s="8" t="s">
        <v>99</v>
      </c>
      <c r="E38" s="8" t="s">
        <v>163</v>
      </c>
      <c r="F38" s="8"/>
      <c r="G38" s="8" t="s">
        <v>164</v>
      </c>
      <c r="H38" s="8"/>
      <c r="I38" s="8" t="s">
        <v>165</v>
      </c>
      <c r="J38" s="8"/>
      <c r="K38" s="8"/>
      <c r="L38" s="12" t="s">
        <v>15</v>
      </c>
      <c r="M38" s="12" t="s">
        <v>15</v>
      </c>
      <c r="N38" s="8"/>
      <c r="O38" s="8"/>
      <c r="P38" s="73"/>
      <c r="Q38" s="8"/>
      <c r="R38" s="8"/>
    </row>
    <row r="39" spans="1:18" ht="106.5">
      <c r="A39" s="8">
        <v>35</v>
      </c>
      <c r="B39" s="8"/>
      <c r="C39" s="8" t="s">
        <v>64</v>
      </c>
      <c r="D39" s="8" t="s">
        <v>99</v>
      </c>
      <c r="E39" s="8" t="s">
        <v>166</v>
      </c>
      <c r="F39" s="8"/>
      <c r="G39" s="8" t="s">
        <v>167</v>
      </c>
      <c r="H39" s="8"/>
      <c r="I39" s="8" t="s">
        <v>168</v>
      </c>
      <c r="J39" s="8"/>
      <c r="K39" s="8"/>
      <c r="L39" s="12" t="s">
        <v>15</v>
      </c>
      <c r="M39" s="12" t="s">
        <v>15</v>
      </c>
      <c r="N39" s="8"/>
      <c r="O39" s="8"/>
      <c r="P39" s="73"/>
      <c r="Q39" s="8"/>
      <c r="R39" s="8"/>
    </row>
    <row r="40" spans="1:18">
      <c r="A40" s="129" t="s">
        <v>169</v>
      </c>
      <c r="B40" s="130"/>
      <c r="C40" s="130"/>
      <c r="D40" s="130"/>
      <c r="E40" s="130"/>
      <c r="F40" s="130"/>
      <c r="G40" s="130"/>
      <c r="H40" s="130"/>
      <c r="I40" s="130"/>
      <c r="J40" s="130"/>
      <c r="K40" s="130"/>
      <c r="L40" s="130"/>
      <c r="M40" s="130"/>
      <c r="N40" s="130"/>
      <c r="O40" s="130"/>
      <c r="P40" s="130"/>
      <c r="Q40" s="130"/>
      <c r="R40" s="131"/>
    </row>
    <row r="41" spans="1:18" ht="87">
      <c r="A41" s="8">
        <v>36</v>
      </c>
      <c r="B41" s="8" t="s">
        <v>63</v>
      </c>
      <c r="C41" s="8" t="s">
        <v>170</v>
      </c>
      <c r="D41" s="8" t="s">
        <v>169</v>
      </c>
      <c r="E41" s="8" t="s">
        <v>171</v>
      </c>
      <c r="F41" s="8"/>
      <c r="G41" s="79" t="s">
        <v>172</v>
      </c>
      <c r="H41" s="8"/>
      <c r="I41" s="8" t="s">
        <v>173</v>
      </c>
      <c r="J41" s="8"/>
      <c r="K41" s="8"/>
      <c r="L41" s="12" t="s">
        <v>15</v>
      </c>
      <c r="M41" s="12" t="s">
        <v>15</v>
      </c>
      <c r="N41" s="8"/>
      <c r="O41" s="8"/>
      <c r="P41" s="73"/>
      <c r="Q41" s="8"/>
      <c r="R41" s="8"/>
    </row>
    <row r="42" spans="1:18" ht="87">
      <c r="A42" s="8">
        <v>37</v>
      </c>
      <c r="B42" s="8"/>
      <c r="C42" s="8"/>
      <c r="D42" s="8" t="s">
        <v>169</v>
      </c>
      <c r="E42" s="8" t="s">
        <v>174</v>
      </c>
      <c r="F42" s="80" t="s">
        <v>66</v>
      </c>
      <c r="G42" s="81" t="s">
        <v>175</v>
      </c>
      <c r="H42" s="82" t="s">
        <v>66</v>
      </c>
      <c r="I42" s="8" t="s">
        <v>176</v>
      </c>
      <c r="J42" s="8"/>
      <c r="K42" s="8"/>
      <c r="L42" s="12" t="s">
        <v>15</v>
      </c>
      <c r="M42" s="12" t="s">
        <v>15</v>
      </c>
      <c r="N42" s="8"/>
      <c r="O42" s="8"/>
      <c r="P42" s="73"/>
      <c r="Q42" s="8"/>
      <c r="R42" s="8"/>
    </row>
    <row r="43" spans="1:18" ht="101.25">
      <c r="A43" s="8">
        <v>38</v>
      </c>
      <c r="B43" s="8"/>
      <c r="C43" s="8"/>
      <c r="D43" s="8" t="s">
        <v>169</v>
      </c>
      <c r="E43" s="8" t="s">
        <v>177</v>
      </c>
      <c r="F43" s="82" t="s">
        <v>66</v>
      </c>
      <c r="G43" s="81" t="s">
        <v>178</v>
      </c>
      <c r="H43" s="82" t="s">
        <v>66</v>
      </c>
      <c r="I43" s="8" t="s">
        <v>179</v>
      </c>
      <c r="J43" s="8"/>
      <c r="K43" s="8" t="s">
        <v>180</v>
      </c>
      <c r="L43" s="12" t="s">
        <v>15</v>
      </c>
      <c r="M43" s="12" t="s">
        <v>15</v>
      </c>
      <c r="N43" s="8"/>
      <c r="O43" s="8"/>
      <c r="P43" s="73"/>
      <c r="Q43" s="8"/>
      <c r="R43" s="8"/>
    </row>
    <row r="44" spans="1:18" ht="87">
      <c r="A44" s="8">
        <v>39</v>
      </c>
      <c r="B44" s="8"/>
      <c r="C44" s="8"/>
      <c r="D44" s="8" t="s">
        <v>169</v>
      </c>
      <c r="E44" s="8" t="s">
        <v>181</v>
      </c>
      <c r="F44" s="82" t="s">
        <v>66</v>
      </c>
      <c r="G44" s="81" t="s">
        <v>182</v>
      </c>
      <c r="H44" s="82" t="s">
        <v>66</v>
      </c>
      <c r="I44" s="8" t="s">
        <v>183</v>
      </c>
      <c r="J44" s="8"/>
      <c r="K44" s="8"/>
      <c r="L44" s="12" t="s">
        <v>15</v>
      </c>
      <c r="M44" s="12" t="s">
        <v>15</v>
      </c>
      <c r="N44" s="8"/>
      <c r="O44" s="8"/>
      <c r="P44" s="73"/>
      <c r="Q44" s="8"/>
      <c r="R44" s="8"/>
    </row>
    <row r="45" spans="1:18" ht="87">
      <c r="A45" s="8">
        <v>40</v>
      </c>
      <c r="B45" s="8"/>
      <c r="C45" s="8"/>
      <c r="D45" s="8" t="s">
        <v>169</v>
      </c>
      <c r="E45" s="8" t="s">
        <v>184</v>
      </c>
      <c r="F45" s="82" t="s">
        <v>66</v>
      </c>
      <c r="G45" s="81" t="s">
        <v>185</v>
      </c>
      <c r="H45" s="82" t="s">
        <v>66</v>
      </c>
      <c r="I45" s="8" t="s">
        <v>186</v>
      </c>
      <c r="J45" s="8"/>
      <c r="K45" s="8" t="s">
        <v>187</v>
      </c>
      <c r="L45" s="12" t="s">
        <v>15</v>
      </c>
      <c r="M45" s="12" t="s">
        <v>15</v>
      </c>
      <c r="N45" s="8"/>
      <c r="O45" s="8"/>
      <c r="P45" s="73"/>
      <c r="Q45" s="8"/>
      <c r="R45" s="8"/>
    </row>
    <row r="46" spans="1:18" ht="101.25">
      <c r="A46" s="8">
        <v>41</v>
      </c>
      <c r="B46" s="8"/>
      <c r="C46" s="8"/>
      <c r="D46" s="8" t="s">
        <v>169</v>
      </c>
      <c r="E46" s="8" t="s">
        <v>188</v>
      </c>
      <c r="F46" s="82" t="s">
        <v>66</v>
      </c>
      <c r="G46" s="81" t="s">
        <v>189</v>
      </c>
      <c r="H46" s="82" t="s">
        <v>66</v>
      </c>
      <c r="I46" s="8" t="s">
        <v>190</v>
      </c>
      <c r="J46" s="8"/>
      <c r="K46" s="8"/>
      <c r="L46" s="12" t="s">
        <v>15</v>
      </c>
      <c r="M46" s="12" t="s">
        <v>15</v>
      </c>
      <c r="N46" s="8"/>
      <c r="O46" s="8"/>
      <c r="P46" s="73"/>
      <c r="Q46" s="8"/>
      <c r="R46" s="8"/>
    </row>
    <row r="47" spans="1:18" ht="101.25">
      <c r="A47" s="8">
        <v>42</v>
      </c>
      <c r="B47" s="8"/>
      <c r="C47" s="8"/>
      <c r="D47" s="8" t="s">
        <v>169</v>
      </c>
      <c r="E47" s="8" t="s">
        <v>191</v>
      </c>
      <c r="F47" s="82" t="s">
        <v>66</v>
      </c>
      <c r="G47" s="83" t="s">
        <v>192</v>
      </c>
      <c r="H47" s="82" t="s">
        <v>66</v>
      </c>
      <c r="I47" s="8" t="s">
        <v>193</v>
      </c>
      <c r="J47" s="8"/>
      <c r="K47" s="8"/>
      <c r="L47" s="12" t="s">
        <v>15</v>
      </c>
      <c r="M47" s="12" t="s">
        <v>15</v>
      </c>
      <c r="N47" s="8"/>
      <c r="O47" s="8"/>
      <c r="P47" s="73"/>
      <c r="Q47" s="8"/>
      <c r="R47" s="8"/>
    </row>
    <row r="48" spans="1:18" ht="45.75">
      <c r="A48" s="8"/>
      <c r="B48" s="8"/>
      <c r="C48" s="8"/>
      <c r="D48" s="8" t="s">
        <v>169</v>
      </c>
      <c r="E48" s="8" t="s">
        <v>194</v>
      </c>
      <c r="F48" s="80"/>
      <c r="G48" s="83"/>
      <c r="H48" s="82"/>
      <c r="I48" s="8" t="s">
        <v>195</v>
      </c>
      <c r="J48" s="8"/>
      <c r="K48" s="8"/>
      <c r="L48" s="12" t="s">
        <v>20</v>
      </c>
      <c r="M48" s="12" t="s">
        <v>20</v>
      </c>
      <c r="N48" s="8"/>
      <c r="O48" s="8"/>
      <c r="P48" s="73"/>
      <c r="Q48" s="8"/>
      <c r="R48" s="8"/>
    </row>
    <row r="49" spans="1:18" ht="45.75">
      <c r="A49" s="8"/>
      <c r="B49" s="8"/>
      <c r="C49" s="8"/>
      <c r="D49" s="8" t="s">
        <v>169</v>
      </c>
      <c r="E49" s="8" t="s">
        <v>196</v>
      </c>
      <c r="F49" s="80"/>
      <c r="G49" s="83"/>
      <c r="H49" s="82"/>
      <c r="I49" s="8"/>
      <c r="J49" s="8"/>
      <c r="K49" s="8"/>
      <c r="L49" s="12" t="s">
        <v>15</v>
      </c>
      <c r="M49" s="12" t="s">
        <v>15</v>
      </c>
      <c r="N49" s="8"/>
      <c r="O49" s="8"/>
      <c r="P49" s="73"/>
      <c r="Q49" s="8"/>
      <c r="R49" s="8"/>
    </row>
    <row r="50" spans="1:18" ht="30.75">
      <c r="A50" s="8"/>
      <c r="B50" s="8"/>
      <c r="C50" s="8"/>
      <c r="D50" s="8" t="s">
        <v>169</v>
      </c>
      <c r="E50" s="8" t="s">
        <v>197</v>
      </c>
      <c r="F50" s="80"/>
      <c r="G50" s="83"/>
      <c r="H50" s="82"/>
      <c r="I50" s="8"/>
      <c r="J50" s="8"/>
      <c r="K50" s="8"/>
      <c r="L50" s="12" t="s">
        <v>15</v>
      </c>
      <c r="M50" s="12" t="s">
        <v>15</v>
      </c>
      <c r="N50" s="8"/>
      <c r="O50" s="8"/>
      <c r="P50" s="73"/>
      <c r="Q50" s="8"/>
      <c r="R50" s="8"/>
    </row>
    <row r="51" spans="1:18" ht="30.75">
      <c r="A51" s="8"/>
      <c r="B51" s="8"/>
      <c r="C51" s="8"/>
      <c r="D51" s="8" t="s">
        <v>169</v>
      </c>
      <c r="E51" s="8" t="s">
        <v>198</v>
      </c>
      <c r="F51" s="80"/>
      <c r="G51" s="83"/>
      <c r="H51" s="82"/>
      <c r="I51" s="8" t="s">
        <v>199</v>
      </c>
      <c r="J51" s="8"/>
      <c r="K51" s="8"/>
      <c r="L51" s="12" t="s">
        <v>15</v>
      </c>
      <c r="M51" s="12" t="s">
        <v>15</v>
      </c>
      <c r="N51" s="8"/>
      <c r="O51" s="8"/>
      <c r="P51" s="73"/>
      <c r="Q51" s="8"/>
      <c r="R51" s="8"/>
    </row>
    <row r="52" spans="1:18" ht="45.75">
      <c r="A52" s="8"/>
      <c r="B52" s="8"/>
      <c r="C52" s="8"/>
      <c r="D52" s="8" t="s">
        <v>169</v>
      </c>
      <c r="E52" s="8" t="s">
        <v>200</v>
      </c>
      <c r="F52" s="80"/>
      <c r="G52" s="83"/>
      <c r="H52" s="82"/>
      <c r="I52" s="8"/>
      <c r="J52" s="8"/>
      <c r="K52" s="8" t="s">
        <v>201</v>
      </c>
      <c r="L52" s="12" t="s">
        <v>15</v>
      </c>
      <c r="M52" s="12" t="s">
        <v>15</v>
      </c>
      <c r="N52" s="8"/>
      <c r="O52" s="8"/>
      <c r="P52" s="73"/>
      <c r="Q52" s="8"/>
      <c r="R52" s="8"/>
    </row>
    <row r="53" spans="1:18" ht="87">
      <c r="A53" s="8">
        <v>43</v>
      </c>
      <c r="B53" s="8"/>
      <c r="C53" s="8"/>
      <c r="D53" s="8" t="s">
        <v>169</v>
      </c>
      <c r="E53" s="8" t="s">
        <v>202</v>
      </c>
      <c r="F53" s="80" t="s">
        <v>66</v>
      </c>
      <c r="G53" s="81" t="s">
        <v>203</v>
      </c>
      <c r="H53" s="82" t="s">
        <v>66</v>
      </c>
      <c r="I53" s="8" t="s">
        <v>204</v>
      </c>
      <c r="J53" s="8"/>
      <c r="K53" s="8"/>
      <c r="L53" s="12" t="s">
        <v>15</v>
      </c>
      <c r="M53" s="12" t="s">
        <v>15</v>
      </c>
      <c r="N53" s="8"/>
      <c r="O53" s="8"/>
      <c r="P53" s="73"/>
      <c r="Q53" s="8"/>
      <c r="R53" s="8"/>
    </row>
    <row r="54" spans="1:18" ht="30.75">
      <c r="A54" s="8"/>
      <c r="B54" s="8"/>
      <c r="C54" s="8"/>
      <c r="D54" s="8" t="s">
        <v>169</v>
      </c>
      <c r="E54" s="8" t="s">
        <v>205</v>
      </c>
      <c r="F54" s="80"/>
      <c r="G54" s="81"/>
      <c r="H54" s="82"/>
      <c r="I54" s="8"/>
      <c r="J54" s="8"/>
      <c r="K54" s="8"/>
      <c r="L54" s="12" t="s">
        <v>15</v>
      </c>
      <c r="M54" s="12" t="s">
        <v>15</v>
      </c>
      <c r="N54" s="8"/>
      <c r="O54" s="8"/>
      <c r="P54" s="73"/>
      <c r="Q54" s="8"/>
      <c r="R54" s="8"/>
    </row>
    <row r="55" spans="1:18" ht="30.75">
      <c r="A55" s="8"/>
      <c r="B55" s="8"/>
      <c r="C55" s="8"/>
      <c r="D55" s="8" t="s">
        <v>169</v>
      </c>
      <c r="E55" s="8" t="s">
        <v>206</v>
      </c>
      <c r="F55" s="80"/>
      <c r="G55" s="81"/>
      <c r="H55" s="82"/>
      <c r="I55" s="8"/>
      <c r="J55" s="8"/>
      <c r="K55" s="8"/>
      <c r="L55" s="12" t="s">
        <v>15</v>
      </c>
      <c r="M55" s="12" t="s">
        <v>15</v>
      </c>
      <c r="N55" s="8"/>
      <c r="O55" s="8"/>
      <c r="P55" s="73"/>
      <c r="Q55" s="8"/>
      <c r="R55" s="8"/>
    </row>
    <row r="56" spans="1:18">
      <c r="A56" s="8"/>
      <c r="B56" s="8"/>
      <c r="C56" s="8"/>
      <c r="D56" s="8" t="s">
        <v>169</v>
      </c>
      <c r="E56" s="8" t="s">
        <v>207</v>
      </c>
      <c r="F56" s="80"/>
      <c r="G56" s="81"/>
      <c r="H56" s="82"/>
      <c r="I56" s="8"/>
      <c r="J56" s="8"/>
      <c r="K56" s="8"/>
      <c r="L56" s="12" t="s">
        <v>15</v>
      </c>
      <c r="M56" s="12" t="s">
        <v>15</v>
      </c>
      <c r="N56" s="8"/>
      <c r="O56" s="8"/>
      <c r="P56" s="73"/>
      <c r="Q56" s="8"/>
      <c r="R56" s="8"/>
    </row>
    <row r="57" spans="1:18" ht="30.75">
      <c r="A57" s="8"/>
      <c r="B57" s="8"/>
      <c r="C57" s="8"/>
      <c r="D57" s="8" t="s">
        <v>169</v>
      </c>
      <c r="E57" s="8" t="s">
        <v>208</v>
      </c>
      <c r="F57" s="80"/>
      <c r="G57" s="81"/>
      <c r="H57" s="82"/>
      <c r="I57" s="8"/>
      <c r="J57" s="8"/>
      <c r="K57" s="8"/>
      <c r="L57" s="12" t="s">
        <v>15</v>
      </c>
      <c r="M57" s="12" t="s">
        <v>15</v>
      </c>
      <c r="N57" s="8"/>
      <c r="O57" s="8"/>
      <c r="P57" s="73"/>
      <c r="Q57" s="8"/>
      <c r="R57" s="8"/>
    </row>
    <row r="58" spans="1:18" ht="60.75">
      <c r="A58" s="8"/>
      <c r="B58" s="8"/>
      <c r="C58" s="8"/>
      <c r="D58" s="8" t="s">
        <v>169</v>
      </c>
      <c r="E58" s="8" t="s">
        <v>209</v>
      </c>
      <c r="F58" s="80"/>
      <c r="G58" s="81"/>
      <c r="H58" s="82"/>
      <c r="I58" s="8"/>
      <c r="J58" s="8"/>
      <c r="K58" s="8" t="s">
        <v>210</v>
      </c>
      <c r="L58" s="12" t="s">
        <v>20</v>
      </c>
      <c r="M58" s="12" t="s">
        <v>20</v>
      </c>
      <c r="N58" s="8"/>
      <c r="O58" s="8"/>
      <c r="P58" s="73"/>
      <c r="Q58" s="8"/>
      <c r="R58" s="8"/>
    </row>
    <row r="59" spans="1:18" ht="60.75">
      <c r="A59" s="8"/>
      <c r="B59" s="8"/>
      <c r="C59" s="8"/>
      <c r="D59" s="8" t="s">
        <v>169</v>
      </c>
      <c r="E59" s="8" t="s">
        <v>211</v>
      </c>
      <c r="F59" s="80"/>
      <c r="G59" s="81"/>
      <c r="H59" s="82"/>
      <c r="I59" s="8"/>
      <c r="J59" s="8"/>
      <c r="K59" s="8" t="s">
        <v>212</v>
      </c>
      <c r="L59" s="12" t="s">
        <v>15</v>
      </c>
      <c r="M59" s="12" t="s">
        <v>15</v>
      </c>
      <c r="N59" s="8"/>
      <c r="O59" s="8"/>
      <c r="P59" s="73"/>
      <c r="Q59" s="8"/>
      <c r="R59" s="8"/>
    </row>
    <row r="60" spans="1:18">
      <c r="A60" s="8"/>
      <c r="B60" s="8"/>
      <c r="C60" s="8"/>
      <c r="D60" s="8" t="s">
        <v>169</v>
      </c>
      <c r="E60" s="8" t="s">
        <v>213</v>
      </c>
      <c r="F60" s="80"/>
      <c r="G60" s="81"/>
      <c r="H60" s="82"/>
      <c r="I60" s="8"/>
      <c r="J60" s="8"/>
      <c r="K60" s="8"/>
      <c r="L60" s="12" t="s">
        <v>15</v>
      </c>
      <c r="M60" s="12" t="s">
        <v>15</v>
      </c>
      <c r="N60" s="8"/>
      <c r="O60" s="8"/>
      <c r="P60" s="73"/>
      <c r="Q60" s="8"/>
      <c r="R60" s="8"/>
    </row>
    <row r="61" spans="1:18" ht="101.25">
      <c r="A61" s="8">
        <v>44</v>
      </c>
      <c r="B61" s="8"/>
      <c r="C61" s="8"/>
      <c r="D61" s="8" t="s">
        <v>169</v>
      </c>
      <c r="E61" s="8" t="s">
        <v>214</v>
      </c>
      <c r="F61" s="82" t="s">
        <v>66</v>
      </c>
      <c r="G61" s="81" t="s">
        <v>215</v>
      </c>
      <c r="H61" s="82" t="s">
        <v>66</v>
      </c>
      <c r="I61" s="8" t="s">
        <v>216</v>
      </c>
      <c r="J61" s="8"/>
      <c r="K61" s="8"/>
      <c r="L61" s="12" t="s">
        <v>20</v>
      </c>
      <c r="M61" s="12" t="s">
        <v>20</v>
      </c>
      <c r="N61" s="8"/>
      <c r="O61" s="8"/>
      <c r="P61" s="73"/>
      <c r="Q61" s="8"/>
      <c r="R61" s="8"/>
    </row>
    <row r="62" spans="1:18">
      <c r="A62" s="8"/>
      <c r="B62" s="8"/>
      <c r="C62" s="8"/>
      <c r="D62" s="8" t="s">
        <v>169</v>
      </c>
      <c r="E62" s="8" t="s">
        <v>217</v>
      </c>
      <c r="F62" s="82"/>
      <c r="G62" s="81"/>
      <c r="H62" s="82"/>
      <c r="I62" s="8" t="s">
        <v>218</v>
      </c>
      <c r="J62" s="8"/>
      <c r="K62" s="8"/>
      <c r="L62" s="12" t="s">
        <v>15</v>
      </c>
      <c r="M62" s="12" t="s">
        <v>15</v>
      </c>
      <c r="N62" s="8"/>
      <c r="O62" s="8"/>
      <c r="P62" s="73"/>
      <c r="Q62" s="8"/>
      <c r="R62" s="8"/>
    </row>
    <row r="63" spans="1:18" ht="30.75">
      <c r="A63" s="8"/>
      <c r="B63" s="8"/>
      <c r="C63" s="8"/>
      <c r="D63" s="8" t="s">
        <v>169</v>
      </c>
      <c r="E63" s="8" t="s">
        <v>219</v>
      </c>
      <c r="F63" s="82"/>
      <c r="G63" s="81"/>
      <c r="H63" s="82"/>
      <c r="I63" s="8" t="s">
        <v>220</v>
      </c>
      <c r="J63" s="8"/>
      <c r="K63" s="8"/>
      <c r="L63" s="12" t="s">
        <v>15</v>
      </c>
      <c r="M63" s="12" t="s">
        <v>15</v>
      </c>
      <c r="N63" s="8"/>
      <c r="O63" s="8"/>
      <c r="P63" s="73"/>
      <c r="Q63" s="8"/>
      <c r="R63" s="8"/>
    </row>
    <row r="64" spans="1:18" ht="101.25">
      <c r="A64" s="8">
        <v>45</v>
      </c>
      <c r="B64" s="8"/>
      <c r="C64" s="8"/>
      <c r="D64" s="8" t="s">
        <v>169</v>
      </c>
      <c r="E64" s="8" t="s">
        <v>221</v>
      </c>
      <c r="F64" s="82" t="s">
        <v>66</v>
      </c>
      <c r="G64" s="81" t="s">
        <v>222</v>
      </c>
      <c r="H64" s="82" t="s">
        <v>66</v>
      </c>
      <c r="I64" s="8" t="s">
        <v>223</v>
      </c>
      <c r="J64" s="8"/>
      <c r="K64" s="8"/>
      <c r="L64" s="12" t="s">
        <v>15</v>
      </c>
      <c r="M64" s="12" t="s">
        <v>15</v>
      </c>
      <c r="N64" s="8"/>
      <c r="O64" s="8"/>
      <c r="P64" s="73"/>
      <c r="Q64" s="8"/>
      <c r="R64" s="8"/>
    </row>
    <row r="65" spans="1:18" ht="106.5">
      <c r="A65" s="8">
        <v>46</v>
      </c>
      <c r="B65" s="8"/>
      <c r="C65" s="8"/>
      <c r="D65" s="8" t="s">
        <v>169</v>
      </c>
      <c r="E65" s="8" t="s">
        <v>224</v>
      </c>
      <c r="F65" s="82" t="s">
        <v>66</v>
      </c>
      <c r="G65" s="81" t="s">
        <v>225</v>
      </c>
      <c r="H65" s="82" t="s">
        <v>66</v>
      </c>
      <c r="I65" s="8" t="s">
        <v>226</v>
      </c>
      <c r="J65" s="8"/>
      <c r="K65" s="8" t="s">
        <v>227</v>
      </c>
      <c r="L65" s="12" t="s">
        <v>20</v>
      </c>
      <c r="M65" s="12" t="s">
        <v>20</v>
      </c>
      <c r="N65" s="8"/>
      <c r="O65" s="8"/>
      <c r="P65" s="73"/>
      <c r="Q65" s="8"/>
      <c r="R65" s="8"/>
    </row>
    <row r="66" spans="1:18" ht="115.5">
      <c r="A66" s="8">
        <v>47</v>
      </c>
      <c r="B66" s="8"/>
      <c r="C66" s="8"/>
      <c r="D66" s="8" t="s">
        <v>169</v>
      </c>
      <c r="E66" s="8" t="s">
        <v>228</v>
      </c>
      <c r="F66" s="82" t="s">
        <v>66</v>
      </c>
      <c r="G66" s="81" t="s">
        <v>229</v>
      </c>
      <c r="H66" s="82" t="s">
        <v>66</v>
      </c>
      <c r="I66" s="8" t="s">
        <v>230</v>
      </c>
      <c r="J66" s="8"/>
      <c r="K66" s="8"/>
      <c r="L66" s="12" t="s">
        <v>20</v>
      </c>
      <c r="M66" s="12" t="s">
        <v>20</v>
      </c>
      <c r="N66" s="8"/>
      <c r="O66" s="8"/>
      <c r="P66" s="73"/>
      <c r="Q66" s="8"/>
      <c r="R66" s="8"/>
    </row>
    <row r="67" spans="1:18" ht="115.5">
      <c r="A67" s="8">
        <v>48</v>
      </c>
      <c r="B67" s="8"/>
      <c r="C67" s="8"/>
      <c r="D67" s="8" t="s">
        <v>169</v>
      </c>
      <c r="E67" s="8" t="s">
        <v>231</v>
      </c>
      <c r="F67" s="84" t="s">
        <v>66</v>
      </c>
      <c r="G67" s="81" t="s">
        <v>232</v>
      </c>
      <c r="H67" s="84" t="s">
        <v>66</v>
      </c>
      <c r="I67" s="8" t="s">
        <v>233</v>
      </c>
      <c r="J67" s="8"/>
      <c r="K67" s="8"/>
      <c r="L67" s="12" t="s">
        <v>15</v>
      </c>
      <c r="M67" s="12" t="s">
        <v>15</v>
      </c>
      <c r="N67" s="8"/>
      <c r="O67" s="8"/>
      <c r="P67" s="73"/>
      <c r="Q67" s="8"/>
      <c r="R67" s="8"/>
    </row>
    <row r="68" spans="1:18" ht="130.5">
      <c r="A68" s="8">
        <v>49</v>
      </c>
      <c r="B68" s="8"/>
      <c r="C68" s="8"/>
      <c r="D68" s="8" t="s">
        <v>169</v>
      </c>
      <c r="E68" s="8" t="s">
        <v>234</v>
      </c>
      <c r="F68" s="82" t="s">
        <v>66</v>
      </c>
      <c r="G68" s="81" t="s">
        <v>235</v>
      </c>
      <c r="H68" s="82" t="s">
        <v>66</v>
      </c>
      <c r="I68" s="8" t="s">
        <v>236</v>
      </c>
      <c r="J68" s="8"/>
      <c r="K68" s="8"/>
      <c r="L68" s="12" t="s">
        <v>15</v>
      </c>
      <c r="M68" s="12" t="s">
        <v>15</v>
      </c>
      <c r="N68" s="8"/>
      <c r="O68" s="8"/>
      <c r="P68" s="73"/>
      <c r="Q68" s="8"/>
      <c r="R68" s="8"/>
    </row>
    <row r="69" spans="1:18" ht="115.5">
      <c r="A69" s="8">
        <v>50</v>
      </c>
      <c r="B69" s="8"/>
      <c r="C69" s="8"/>
      <c r="D69" s="8" t="s">
        <v>169</v>
      </c>
      <c r="E69" s="8" t="s">
        <v>237</v>
      </c>
      <c r="F69" s="84" t="s">
        <v>66</v>
      </c>
      <c r="G69" s="81" t="s">
        <v>238</v>
      </c>
      <c r="H69" s="84" t="s">
        <v>66</v>
      </c>
      <c r="I69" s="8" t="s">
        <v>239</v>
      </c>
      <c r="J69" s="8"/>
      <c r="K69" s="8"/>
      <c r="L69" s="12" t="s">
        <v>15</v>
      </c>
      <c r="M69" s="12" t="s">
        <v>15</v>
      </c>
      <c r="N69" s="8"/>
      <c r="O69" s="8"/>
      <c r="P69" s="73"/>
      <c r="Q69" s="8"/>
      <c r="R69" s="8"/>
    </row>
    <row r="70" spans="1:18" ht="101.25">
      <c r="A70" s="8">
        <v>51</v>
      </c>
      <c r="B70" s="8"/>
      <c r="C70" s="8"/>
      <c r="D70" s="8" t="s">
        <v>169</v>
      </c>
      <c r="E70" s="85" t="s">
        <v>240</v>
      </c>
      <c r="F70" s="82" t="s">
        <v>66</v>
      </c>
      <c r="G70" s="81" t="s">
        <v>241</v>
      </c>
      <c r="H70" s="82" t="s">
        <v>66</v>
      </c>
      <c r="I70" s="85" t="s">
        <v>242</v>
      </c>
      <c r="J70" s="8"/>
      <c r="K70" s="8"/>
      <c r="L70" s="12" t="s">
        <v>15</v>
      </c>
      <c r="M70" s="12" t="s">
        <v>15</v>
      </c>
      <c r="N70" s="8"/>
      <c r="O70" s="8"/>
      <c r="P70" s="73"/>
      <c r="Q70" s="8"/>
      <c r="R70" s="8"/>
    </row>
    <row r="71" spans="1:18" ht="115.5">
      <c r="A71" s="8">
        <v>52</v>
      </c>
      <c r="B71" s="8"/>
      <c r="C71" s="8"/>
      <c r="D71" s="8" t="s">
        <v>169</v>
      </c>
      <c r="E71" s="8" t="s">
        <v>243</v>
      </c>
      <c r="F71" s="84" t="s">
        <v>66</v>
      </c>
      <c r="G71" s="81" t="s">
        <v>244</v>
      </c>
      <c r="H71" s="84" t="s">
        <v>66</v>
      </c>
      <c r="I71" s="8" t="s">
        <v>245</v>
      </c>
      <c r="J71" s="8"/>
      <c r="K71" s="8"/>
      <c r="L71" s="12" t="s">
        <v>15</v>
      </c>
      <c r="M71" s="12" t="s">
        <v>15</v>
      </c>
      <c r="N71" s="8"/>
      <c r="O71" s="8"/>
      <c r="P71" s="73"/>
      <c r="Q71" s="8"/>
      <c r="R71" s="8"/>
    </row>
    <row r="72" spans="1:18">
      <c r="A72" s="8"/>
      <c r="B72" s="8"/>
      <c r="C72" s="8"/>
      <c r="D72" s="8" t="s">
        <v>169</v>
      </c>
      <c r="E72" s="8" t="s">
        <v>246</v>
      </c>
      <c r="F72" s="84"/>
      <c r="G72" s="81"/>
      <c r="H72" s="84"/>
      <c r="I72" s="8" t="s">
        <v>247</v>
      </c>
      <c r="J72" s="8"/>
      <c r="K72" s="8"/>
      <c r="L72" s="12" t="s">
        <v>15</v>
      </c>
      <c r="M72" s="12" t="s">
        <v>15</v>
      </c>
      <c r="N72" s="8"/>
      <c r="O72" s="8"/>
      <c r="P72" s="73"/>
      <c r="Q72" s="8"/>
      <c r="R72" s="8"/>
    </row>
    <row r="73" spans="1:18" ht="30.75">
      <c r="A73" s="8"/>
      <c r="B73" s="8"/>
      <c r="C73" s="8"/>
      <c r="D73" s="8" t="s">
        <v>169</v>
      </c>
      <c r="E73" s="8" t="s">
        <v>248</v>
      </c>
      <c r="F73" s="84"/>
      <c r="G73" s="81"/>
      <c r="H73" s="84"/>
      <c r="I73" s="8"/>
      <c r="J73" s="8"/>
      <c r="K73" s="8"/>
      <c r="L73" s="12"/>
      <c r="M73" s="12" t="s">
        <v>15</v>
      </c>
      <c r="N73" s="8"/>
      <c r="O73" s="8"/>
      <c r="P73" s="73"/>
      <c r="Q73" s="8"/>
      <c r="R73" s="8"/>
    </row>
    <row r="74" spans="1:18" ht="121.5">
      <c r="A74" s="8">
        <v>53</v>
      </c>
      <c r="B74" s="8"/>
      <c r="C74" s="8"/>
      <c r="D74" s="8" t="s">
        <v>169</v>
      </c>
      <c r="E74" s="8" t="s">
        <v>249</v>
      </c>
      <c r="F74" s="82" t="s">
        <v>66</v>
      </c>
      <c r="G74" s="8" t="s">
        <v>250</v>
      </c>
      <c r="H74" s="82" t="s">
        <v>66</v>
      </c>
      <c r="I74" s="8" t="s">
        <v>251</v>
      </c>
      <c r="J74" s="8"/>
      <c r="K74" s="8"/>
      <c r="L74" s="12" t="s">
        <v>15</v>
      </c>
      <c r="M74" s="12" t="s">
        <v>15</v>
      </c>
      <c r="N74" s="8"/>
      <c r="O74" s="8"/>
      <c r="P74" s="73"/>
      <c r="Q74" s="8"/>
      <c r="R74" s="8"/>
    </row>
    <row r="75" spans="1:18">
      <c r="A75" s="76" t="s">
        <v>252</v>
      </c>
      <c r="B75" s="77"/>
      <c r="C75" s="77"/>
      <c r="D75" s="77"/>
      <c r="E75" s="77"/>
      <c r="F75" s="77"/>
      <c r="G75" s="77"/>
      <c r="H75" s="77"/>
      <c r="I75" s="77"/>
      <c r="J75" s="77"/>
      <c r="K75" s="77"/>
      <c r="L75" s="77"/>
      <c r="M75" s="86"/>
      <c r="N75" s="77"/>
      <c r="O75" s="77"/>
      <c r="P75" s="77"/>
      <c r="Q75" s="77"/>
      <c r="R75" s="78"/>
    </row>
    <row r="76" spans="1:18" ht="121.5">
      <c r="A76" s="8">
        <v>54</v>
      </c>
      <c r="B76" s="8"/>
      <c r="C76" s="8"/>
      <c r="D76" s="8" t="s">
        <v>253</v>
      </c>
      <c r="E76" s="8" t="s">
        <v>254</v>
      </c>
      <c r="F76" s="82" t="s">
        <v>66</v>
      </c>
      <c r="G76" s="8" t="s">
        <v>250</v>
      </c>
      <c r="H76" s="82" t="s">
        <v>66</v>
      </c>
      <c r="I76" s="8" t="s">
        <v>255</v>
      </c>
      <c r="J76" s="8"/>
      <c r="K76" s="8"/>
      <c r="L76" s="12" t="s">
        <v>15</v>
      </c>
      <c r="M76" s="12" t="s">
        <v>15</v>
      </c>
      <c r="N76" s="8"/>
      <c r="O76" s="8"/>
      <c r="P76" s="73"/>
      <c r="Q76" s="8"/>
      <c r="R76" s="8"/>
    </row>
    <row r="77" spans="1:18" ht="121.5">
      <c r="A77" s="8">
        <v>55</v>
      </c>
      <c r="B77" s="8"/>
      <c r="C77" s="8"/>
      <c r="D77" s="8" t="s">
        <v>253</v>
      </c>
      <c r="E77" s="8" t="s">
        <v>256</v>
      </c>
      <c r="F77" s="84" t="s">
        <v>66</v>
      </c>
      <c r="G77" s="8" t="s">
        <v>257</v>
      </c>
      <c r="H77" s="84" t="s">
        <v>66</v>
      </c>
      <c r="I77" s="8" t="s">
        <v>258</v>
      </c>
      <c r="J77" s="8"/>
      <c r="K77" s="8"/>
      <c r="L77" s="12" t="s">
        <v>15</v>
      </c>
      <c r="M77" s="12" t="s">
        <v>15</v>
      </c>
      <c r="N77" s="8"/>
      <c r="O77" s="8"/>
      <c r="P77" s="73"/>
      <c r="Q77" s="8"/>
      <c r="R77" s="8"/>
    </row>
    <row r="78" spans="1:18" ht="121.5">
      <c r="A78" s="8">
        <v>56</v>
      </c>
      <c r="B78" s="8"/>
      <c r="C78" s="8"/>
      <c r="D78" s="8" t="s">
        <v>253</v>
      </c>
      <c r="E78" s="8" t="s">
        <v>259</v>
      </c>
      <c r="F78" s="84" t="s">
        <v>66</v>
      </c>
      <c r="G78" s="8" t="s">
        <v>260</v>
      </c>
      <c r="H78" s="84" t="s">
        <v>66</v>
      </c>
      <c r="I78" s="8" t="s">
        <v>261</v>
      </c>
      <c r="J78" s="8"/>
      <c r="K78" s="8"/>
      <c r="L78" s="12" t="s">
        <v>15</v>
      </c>
      <c r="M78" s="12" t="s">
        <v>15</v>
      </c>
      <c r="N78" s="8"/>
      <c r="O78" s="8"/>
      <c r="P78" s="73"/>
      <c r="Q78" s="8"/>
      <c r="R78" s="8"/>
    </row>
    <row r="79" spans="1:18" ht="121.5">
      <c r="A79" s="8">
        <v>57</v>
      </c>
      <c r="B79" s="8"/>
      <c r="C79" s="8"/>
      <c r="D79" s="8" t="s">
        <v>253</v>
      </c>
      <c r="E79" s="8" t="s">
        <v>262</v>
      </c>
      <c r="F79" s="82" t="s">
        <v>66</v>
      </c>
      <c r="G79" s="8" t="s">
        <v>250</v>
      </c>
      <c r="H79" s="82" t="s">
        <v>66</v>
      </c>
      <c r="I79" s="8" t="s">
        <v>263</v>
      </c>
      <c r="J79" s="8"/>
      <c r="K79" s="8"/>
      <c r="L79" s="12" t="s">
        <v>15</v>
      </c>
      <c r="M79" s="12" t="s">
        <v>15</v>
      </c>
      <c r="N79" s="8"/>
      <c r="O79" s="8"/>
      <c r="P79" s="73"/>
      <c r="Q79" s="8"/>
      <c r="R79" s="8"/>
    </row>
    <row r="80" spans="1:18" ht="121.5">
      <c r="A80" s="8">
        <v>58</v>
      </c>
      <c r="B80" s="8"/>
      <c r="C80" s="8"/>
      <c r="D80" s="8" t="s">
        <v>253</v>
      </c>
      <c r="E80" s="88" t="s">
        <v>264</v>
      </c>
      <c r="F80" s="82" t="s">
        <v>66</v>
      </c>
      <c r="G80" s="8" t="s">
        <v>250</v>
      </c>
      <c r="H80" s="82" t="s">
        <v>66</v>
      </c>
      <c r="I80" s="8" t="s">
        <v>265</v>
      </c>
      <c r="J80" s="8"/>
      <c r="K80" s="8"/>
      <c r="L80" s="12" t="s">
        <v>15</v>
      </c>
      <c r="M80" s="12" t="s">
        <v>15</v>
      </c>
      <c r="N80" s="8"/>
      <c r="O80" s="8"/>
      <c r="P80" s="73"/>
      <c r="Q80" s="8"/>
      <c r="R80" s="8"/>
    </row>
    <row r="81" spans="1:18" ht="45.75">
      <c r="A81" s="8"/>
      <c r="B81" s="8"/>
      <c r="C81" s="8"/>
      <c r="D81" s="8" t="s">
        <v>253</v>
      </c>
      <c r="E81" s="88" t="s">
        <v>266</v>
      </c>
      <c r="F81" s="84"/>
      <c r="G81" s="8"/>
      <c r="H81" s="84"/>
      <c r="I81" s="8"/>
      <c r="J81" s="8"/>
      <c r="K81" s="8"/>
      <c r="L81" s="12" t="s">
        <v>15</v>
      </c>
      <c r="M81" s="12" t="s">
        <v>15</v>
      </c>
      <c r="N81" s="8"/>
      <c r="O81" s="8"/>
      <c r="P81" s="73"/>
      <c r="Q81" s="8"/>
      <c r="R81" s="8"/>
    </row>
    <row r="82" spans="1:18" ht="45.75">
      <c r="A82" s="8"/>
      <c r="B82" s="8"/>
      <c r="C82" s="8"/>
      <c r="D82" s="8" t="s">
        <v>253</v>
      </c>
      <c r="E82" s="88" t="s">
        <v>267</v>
      </c>
      <c r="F82" s="84"/>
      <c r="G82" s="8"/>
      <c r="H82" s="84"/>
      <c r="I82" s="8" t="s">
        <v>268</v>
      </c>
      <c r="J82" s="8"/>
      <c r="K82" s="8"/>
      <c r="L82" s="12" t="s">
        <v>15</v>
      </c>
      <c r="M82" s="12" t="s">
        <v>15</v>
      </c>
      <c r="N82" s="8"/>
      <c r="O82" s="8"/>
      <c r="P82" s="73"/>
      <c r="Q82" s="8"/>
      <c r="R82" s="8"/>
    </row>
    <row r="83" spans="1:18" ht="121.5">
      <c r="A83" s="8">
        <v>59</v>
      </c>
      <c r="B83" s="8"/>
      <c r="C83" s="8"/>
      <c r="D83" s="8" t="s">
        <v>253</v>
      </c>
      <c r="E83" s="8" t="s">
        <v>269</v>
      </c>
      <c r="F83" s="84" t="s">
        <v>66</v>
      </c>
      <c r="G83" s="8" t="s">
        <v>250</v>
      </c>
      <c r="H83" s="84" t="s">
        <v>66</v>
      </c>
      <c r="I83" s="8" t="s">
        <v>270</v>
      </c>
      <c r="J83" s="8"/>
      <c r="K83" s="8" t="s">
        <v>271</v>
      </c>
      <c r="L83" s="12" t="s">
        <v>15</v>
      </c>
      <c r="M83" s="12" t="s">
        <v>15</v>
      </c>
      <c r="N83" s="8"/>
      <c r="O83" s="8"/>
      <c r="P83" s="73"/>
      <c r="Q83" s="8"/>
      <c r="R83" s="8"/>
    </row>
    <row r="84" spans="1:18" ht="30.75">
      <c r="A84" s="8">
        <v>60</v>
      </c>
      <c r="B84" s="8"/>
      <c r="C84" s="8"/>
      <c r="D84" s="8" t="s">
        <v>253</v>
      </c>
      <c r="E84" s="8" t="s">
        <v>272</v>
      </c>
      <c r="F84" s="82" t="s">
        <v>66</v>
      </c>
      <c r="G84" s="8" t="s">
        <v>273</v>
      </c>
      <c r="H84" s="82" t="s">
        <v>66</v>
      </c>
      <c r="I84" s="8" t="s">
        <v>274</v>
      </c>
      <c r="J84" s="8"/>
      <c r="K84" s="8"/>
      <c r="L84" s="12" t="s">
        <v>15</v>
      </c>
      <c r="M84" s="12" t="s">
        <v>15</v>
      </c>
      <c r="N84" s="8"/>
      <c r="O84" s="8"/>
      <c r="P84" s="73"/>
      <c r="Q84" s="8"/>
      <c r="R84" s="8"/>
    </row>
    <row r="85" spans="1:18" ht="45.75">
      <c r="A85" s="8">
        <v>61</v>
      </c>
      <c r="B85" s="8"/>
      <c r="C85" s="8"/>
      <c r="D85" s="8" t="s">
        <v>253</v>
      </c>
      <c r="E85" s="8" t="s">
        <v>275</v>
      </c>
      <c r="F85" s="84" t="s">
        <v>66</v>
      </c>
      <c r="G85" s="8" t="s">
        <v>276</v>
      </c>
      <c r="H85" s="84" t="s">
        <v>66</v>
      </c>
      <c r="I85" s="8" t="s">
        <v>277</v>
      </c>
      <c r="J85" s="8"/>
      <c r="K85" s="8"/>
      <c r="L85" s="12" t="s">
        <v>15</v>
      </c>
      <c r="M85" s="12" t="s">
        <v>15</v>
      </c>
      <c r="N85" s="8"/>
      <c r="O85" s="8"/>
      <c r="P85" s="73"/>
      <c r="Q85" s="8"/>
      <c r="R85" s="8"/>
    </row>
    <row r="86" spans="1:18" ht="30.75">
      <c r="A86" s="8">
        <v>62</v>
      </c>
      <c r="B86" s="8"/>
      <c r="C86" s="8"/>
      <c r="D86" s="8" t="s">
        <v>253</v>
      </c>
      <c r="E86" s="8" t="s">
        <v>278</v>
      </c>
      <c r="F86" s="82" t="s">
        <v>66</v>
      </c>
      <c r="G86" s="8" t="s">
        <v>279</v>
      </c>
      <c r="H86" s="82" t="s">
        <v>66</v>
      </c>
      <c r="I86" s="8" t="s">
        <v>280</v>
      </c>
      <c r="J86" s="8"/>
      <c r="K86" s="8"/>
      <c r="L86" s="12" t="s">
        <v>15</v>
      </c>
      <c r="M86" s="12" t="s">
        <v>15</v>
      </c>
      <c r="N86" s="8"/>
      <c r="O86" s="8"/>
      <c r="P86" s="73"/>
      <c r="Q86" s="8"/>
      <c r="R86" s="8"/>
    </row>
    <row r="87" spans="1:18" ht="30.75">
      <c r="A87" s="8"/>
      <c r="B87" s="8"/>
      <c r="C87" s="8"/>
      <c r="D87" s="8" t="s">
        <v>253</v>
      </c>
      <c r="E87" s="8" t="s">
        <v>281</v>
      </c>
      <c r="F87" s="84"/>
      <c r="G87" s="8"/>
      <c r="H87" s="84"/>
      <c r="I87" s="8"/>
      <c r="J87" s="8"/>
      <c r="K87" s="8"/>
      <c r="L87" s="12" t="s">
        <v>15</v>
      </c>
      <c r="M87" s="12" t="s">
        <v>15</v>
      </c>
      <c r="N87" s="8"/>
      <c r="O87" s="8"/>
      <c r="P87" s="73"/>
      <c r="Q87" s="8"/>
      <c r="R87" s="8"/>
    </row>
    <row r="88" spans="1:18" ht="30.75">
      <c r="A88" s="8"/>
      <c r="B88" s="8"/>
      <c r="C88" s="8"/>
      <c r="D88" s="8" t="s">
        <v>253</v>
      </c>
      <c r="E88" s="11" t="s">
        <v>282</v>
      </c>
      <c r="F88" s="91"/>
      <c r="G88" s="11"/>
      <c r="H88" s="91"/>
      <c r="I88" s="11"/>
      <c r="J88" s="11"/>
      <c r="K88" s="11"/>
      <c r="L88" s="92" t="s">
        <v>15</v>
      </c>
      <c r="M88" s="12" t="s">
        <v>15</v>
      </c>
      <c r="N88" s="8"/>
      <c r="O88" s="8"/>
      <c r="P88" s="73"/>
      <c r="Q88" s="8"/>
      <c r="R88" s="8"/>
    </row>
    <row r="89" spans="1:18" ht="30.75">
      <c r="A89" s="8"/>
      <c r="B89" s="8"/>
      <c r="C89" s="8"/>
      <c r="D89" s="73" t="s">
        <v>253</v>
      </c>
      <c r="E89" s="8" t="s">
        <v>283</v>
      </c>
      <c r="F89" s="89"/>
      <c r="G89" s="8"/>
      <c r="H89" s="89"/>
      <c r="I89" s="8"/>
      <c r="J89" s="8"/>
      <c r="K89" s="8"/>
      <c r="L89" s="12" t="s">
        <v>15</v>
      </c>
      <c r="M89" s="12" t="s">
        <v>15</v>
      </c>
      <c r="N89" s="90"/>
      <c r="O89" s="8"/>
      <c r="P89" s="73"/>
      <c r="Q89" s="8"/>
      <c r="R89" s="8"/>
    </row>
    <row r="90" spans="1:18" ht="45.75">
      <c r="A90" s="8"/>
      <c r="B90" s="8"/>
      <c r="C90" s="8"/>
      <c r="D90" s="73" t="s">
        <v>253</v>
      </c>
      <c r="E90" s="8" t="s">
        <v>284</v>
      </c>
      <c r="F90" s="89"/>
      <c r="G90" s="8"/>
      <c r="H90" s="89"/>
      <c r="I90" s="8"/>
      <c r="J90" s="8"/>
      <c r="K90" s="8"/>
      <c r="L90" s="12" t="s">
        <v>15</v>
      </c>
      <c r="M90" s="12" t="s">
        <v>15</v>
      </c>
      <c r="N90" s="90"/>
      <c r="O90" s="8"/>
      <c r="P90" s="73"/>
      <c r="Q90" s="8"/>
      <c r="R90" s="8"/>
    </row>
    <row r="91" spans="1:18" ht="30.75">
      <c r="A91" s="8">
        <v>63</v>
      </c>
      <c r="B91" s="8"/>
      <c r="C91" s="8"/>
      <c r="D91" s="73" t="s">
        <v>253</v>
      </c>
      <c r="E91" s="8" t="s">
        <v>285</v>
      </c>
      <c r="F91" s="89" t="s">
        <v>66</v>
      </c>
      <c r="G91" s="8" t="s">
        <v>286</v>
      </c>
      <c r="H91" s="89" t="s">
        <v>66</v>
      </c>
      <c r="I91" s="8" t="s">
        <v>287</v>
      </c>
      <c r="J91" s="8"/>
      <c r="K91" s="8"/>
      <c r="L91" s="12" t="s">
        <v>15</v>
      </c>
      <c r="M91" s="12" t="s">
        <v>15</v>
      </c>
      <c r="N91" s="90"/>
      <c r="O91" s="8"/>
      <c r="P91" s="73"/>
      <c r="Q91" s="8"/>
      <c r="R91" s="8"/>
    </row>
    <row r="92" spans="1:18" ht="30.75">
      <c r="A92" s="8"/>
      <c r="B92" s="8"/>
      <c r="C92" s="8"/>
      <c r="D92" s="73" t="s">
        <v>253</v>
      </c>
      <c r="E92" s="8" t="s">
        <v>285</v>
      </c>
      <c r="F92" s="89"/>
      <c r="G92" s="95" t="s">
        <v>288</v>
      </c>
      <c r="H92" s="89"/>
      <c r="I92" s="8"/>
      <c r="J92" s="8"/>
      <c r="K92" s="8"/>
      <c r="L92" s="12" t="s">
        <v>15</v>
      </c>
      <c r="M92" s="12" t="s">
        <v>15</v>
      </c>
      <c r="N92" s="90"/>
      <c r="O92" s="8"/>
      <c r="P92" s="73"/>
      <c r="Q92" s="8"/>
      <c r="R92" s="8"/>
    </row>
    <row r="93" spans="1:18" ht="30.75">
      <c r="A93" s="8"/>
      <c r="B93" s="8"/>
      <c r="C93" s="8"/>
      <c r="D93" s="73" t="s">
        <v>253</v>
      </c>
      <c r="E93" s="8" t="s">
        <v>285</v>
      </c>
      <c r="F93" s="89"/>
      <c r="G93" s="95" t="s">
        <v>289</v>
      </c>
      <c r="H93" s="89"/>
      <c r="I93" s="8"/>
      <c r="J93" s="8"/>
      <c r="K93" s="8"/>
      <c r="L93" s="12" t="s">
        <v>15</v>
      </c>
      <c r="M93" s="12" t="s">
        <v>15</v>
      </c>
      <c r="N93" s="90"/>
      <c r="O93" s="8"/>
      <c r="P93" s="73"/>
      <c r="Q93" s="8"/>
      <c r="R93" s="8"/>
    </row>
    <row r="94" spans="1:18" ht="30.75">
      <c r="A94" s="8"/>
      <c r="B94" s="8"/>
      <c r="C94" s="8"/>
      <c r="D94" s="73" t="s">
        <v>253</v>
      </c>
      <c r="E94" s="8" t="s">
        <v>285</v>
      </c>
      <c r="F94" s="89"/>
      <c r="G94" s="95" t="s">
        <v>290</v>
      </c>
      <c r="H94" s="89"/>
      <c r="I94" s="8"/>
      <c r="J94" s="8"/>
      <c r="K94" s="8"/>
      <c r="L94" s="12" t="s">
        <v>15</v>
      </c>
      <c r="M94" s="12" t="s">
        <v>15</v>
      </c>
      <c r="N94" s="90"/>
      <c r="O94" s="8"/>
      <c r="P94" s="73"/>
      <c r="Q94" s="8"/>
      <c r="R94" s="8"/>
    </row>
    <row r="95" spans="1:18" ht="30.75">
      <c r="A95" s="8"/>
      <c r="B95" s="8"/>
      <c r="C95" s="8"/>
      <c r="D95" s="73" t="s">
        <v>253</v>
      </c>
      <c r="E95" s="8" t="s">
        <v>285</v>
      </c>
      <c r="F95" s="89"/>
      <c r="G95" s="95" t="s">
        <v>291</v>
      </c>
      <c r="H95" s="89"/>
      <c r="I95" s="8"/>
      <c r="J95" s="8"/>
      <c r="K95" s="8"/>
      <c r="L95" s="12" t="s">
        <v>15</v>
      </c>
      <c r="M95" s="12" t="s">
        <v>15</v>
      </c>
      <c r="N95" s="90"/>
      <c r="O95" s="8"/>
      <c r="P95" s="73"/>
      <c r="Q95" s="8"/>
      <c r="R95" s="8"/>
    </row>
    <row r="96" spans="1:18" ht="30.75">
      <c r="A96" s="8"/>
      <c r="B96" s="8"/>
      <c r="C96" s="8"/>
      <c r="D96" s="73" t="s">
        <v>253</v>
      </c>
      <c r="E96" s="8" t="s">
        <v>285</v>
      </c>
      <c r="F96" s="89"/>
      <c r="G96" s="95" t="s">
        <v>292</v>
      </c>
      <c r="H96" s="89"/>
      <c r="I96" s="8"/>
      <c r="J96" s="8"/>
      <c r="K96" s="8"/>
      <c r="L96" s="12" t="s">
        <v>20</v>
      </c>
      <c r="M96" s="12" t="s">
        <v>20</v>
      </c>
      <c r="N96" s="90"/>
      <c r="O96" s="8"/>
      <c r="P96" s="73"/>
      <c r="Q96" s="8"/>
      <c r="R96" s="8"/>
    </row>
    <row r="97" spans="1:18" ht="30.75">
      <c r="A97" s="8"/>
      <c r="B97" s="8"/>
      <c r="C97" s="8"/>
      <c r="D97" s="73" t="s">
        <v>253</v>
      </c>
      <c r="E97" s="8" t="s">
        <v>285</v>
      </c>
      <c r="F97" s="89"/>
      <c r="G97" s="95" t="s">
        <v>293</v>
      </c>
      <c r="H97" s="89"/>
      <c r="I97" s="8" t="s">
        <v>294</v>
      </c>
      <c r="J97" s="8"/>
      <c r="K97" s="8"/>
      <c r="L97" s="12" t="s">
        <v>15</v>
      </c>
      <c r="M97" s="12" t="s">
        <v>15</v>
      </c>
      <c r="N97" s="90"/>
      <c r="O97" s="8"/>
      <c r="P97" s="73"/>
      <c r="Q97" s="8"/>
      <c r="R97" s="8"/>
    </row>
    <row r="98" spans="1:18" ht="45.75">
      <c r="A98" s="8"/>
      <c r="B98" s="8"/>
      <c r="C98" s="8"/>
      <c r="D98" s="73" t="s">
        <v>253</v>
      </c>
      <c r="E98" s="8" t="s">
        <v>285</v>
      </c>
      <c r="F98" s="89"/>
      <c r="G98" s="95" t="s">
        <v>295</v>
      </c>
      <c r="H98" s="89"/>
      <c r="I98" s="8" t="s">
        <v>296</v>
      </c>
      <c r="J98" s="8"/>
      <c r="K98" s="8"/>
      <c r="L98" s="12" t="s">
        <v>15</v>
      </c>
      <c r="M98" s="12" t="s">
        <v>15</v>
      </c>
      <c r="N98" s="90"/>
      <c r="O98" s="8"/>
      <c r="P98" s="73"/>
      <c r="Q98" s="8"/>
      <c r="R98" s="8"/>
    </row>
    <row r="99" spans="1:18" ht="30.75">
      <c r="A99" s="8"/>
      <c r="B99" s="8"/>
      <c r="C99" s="8"/>
      <c r="D99" s="73" t="s">
        <v>253</v>
      </c>
      <c r="E99" s="8" t="s">
        <v>285</v>
      </c>
      <c r="F99" s="89"/>
      <c r="G99" s="95" t="s">
        <v>297</v>
      </c>
      <c r="H99" s="89"/>
      <c r="I99" s="8"/>
      <c r="J99" s="8"/>
      <c r="K99" s="8"/>
      <c r="L99" s="12" t="s">
        <v>15</v>
      </c>
      <c r="M99" s="12" t="s">
        <v>15</v>
      </c>
      <c r="N99" s="90"/>
      <c r="O99" s="8"/>
      <c r="P99" s="73"/>
      <c r="Q99" s="8"/>
      <c r="R99" s="8"/>
    </row>
    <row r="100" spans="1:18" ht="30.75">
      <c r="A100" s="8"/>
      <c r="B100" s="8"/>
      <c r="C100" s="8"/>
      <c r="D100" s="73" t="s">
        <v>253</v>
      </c>
      <c r="E100" s="8" t="s">
        <v>285</v>
      </c>
      <c r="F100" s="89"/>
      <c r="G100" s="95" t="s">
        <v>298</v>
      </c>
      <c r="H100" s="8"/>
      <c r="I100" s="8" t="s">
        <v>299</v>
      </c>
      <c r="J100" s="8"/>
      <c r="K100" s="8" t="s">
        <v>300</v>
      </c>
      <c r="L100" s="12" t="s">
        <v>15</v>
      </c>
      <c r="M100" s="12" t="s">
        <v>15</v>
      </c>
      <c r="N100" s="90"/>
      <c r="O100" s="8"/>
      <c r="P100" s="73"/>
      <c r="Q100" s="8"/>
      <c r="R100" s="8"/>
    </row>
    <row r="101" spans="1:18" ht="45.75">
      <c r="A101" s="8"/>
      <c r="B101" s="8"/>
      <c r="C101" s="8"/>
      <c r="D101" s="73" t="s">
        <v>253</v>
      </c>
      <c r="E101" s="8" t="s">
        <v>285</v>
      </c>
      <c r="F101" s="89"/>
      <c r="G101" s="95" t="s">
        <v>301</v>
      </c>
      <c r="H101" s="8"/>
      <c r="I101" s="8" t="s">
        <v>302</v>
      </c>
      <c r="J101" s="8"/>
      <c r="K101" s="8"/>
      <c r="L101" s="12" t="s">
        <v>15</v>
      </c>
      <c r="M101" s="12" t="s">
        <v>15</v>
      </c>
      <c r="N101" s="90"/>
      <c r="O101" s="8"/>
      <c r="P101" s="73"/>
      <c r="Q101" s="8"/>
      <c r="R101" s="8"/>
    </row>
    <row r="102" spans="1:18" ht="30.75">
      <c r="A102" s="8"/>
      <c r="B102" s="8"/>
      <c r="C102" s="8"/>
      <c r="D102" s="73" t="s">
        <v>253</v>
      </c>
      <c r="E102" s="8" t="s">
        <v>285</v>
      </c>
      <c r="F102" s="89"/>
      <c r="G102" s="95" t="s">
        <v>303</v>
      </c>
      <c r="H102" s="8"/>
      <c r="I102" s="8" t="s">
        <v>304</v>
      </c>
      <c r="J102" s="8"/>
      <c r="K102" s="8"/>
      <c r="L102" s="12" t="s">
        <v>15</v>
      </c>
      <c r="M102" s="12" t="s">
        <v>15</v>
      </c>
      <c r="N102" s="90"/>
      <c r="O102" s="8"/>
      <c r="P102" s="73"/>
      <c r="Q102" s="8"/>
      <c r="R102" s="8"/>
    </row>
    <row r="103" spans="1:18" ht="30.75">
      <c r="A103" s="8"/>
      <c r="B103" s="8"/>
      <c r="C103" s="8"/>
      <c r="D103" s="73" t="s">
        <v>253</v>
      </c>
      <c r="E103" s="8" t="s">
        <v>285</v>
      </c>
      <c r="F103" s="89"/>
      <c r="G103" s="95" t="s">
        <v>305</v>
      </c>
      <c r="H103" s="8"/>
      <c r="I103" s="8" t="s">
        <v>306</v>
      </c>
      <c r="J103" s="8"/>
      <c r="K103" s="8"/>
      <c r="L103" s="12" t="s">
        <v>15</v>
      </c>
      <c r="M103" s="12" t="s">
        <v>15</v>
      </c>
      <c r="N103" s="90"/>
      <c r="O103" s="8"/>
      <c r="P103" s="73"/>
      <c r="Q103" s="8"/>
      <c r="R103" s="8"/>
    </row>
    <row r="104" spans="1:18" ht="30.75">
      <c r="A104" s="8"/>
      <c r="B104" s="8"/>
      <c r="C104" s="8"/>
      <c r="D104" s="73" t="s">
        <v>253</v>
      </c>
      <c r="E104" s="8" t="s">
        <v>285</v>
      </c>
      <c r="F104" s="89"/>
      <c r="G104" s="95" t="s">
        <v>307</v>
      </c>
      <c r="H104" s="8"/>
      <c r="I104" s="8" t="s">
        <v>308</v>
      </c>
      <c r="J104" s="8"/>
      <c r="K104" s="8"/>
      <c r="L104" s="12" t="s">
        <v>17</v>
      </c>
      <c r="M104" s="12" t="s">
        <v>15</v>
      </c>
      <c r="N104" s="90"/>
      <c r="O104" s="8"/>
      <c r="P104" s="73"/>
      <c r="Q104" s="8"/>
      <c r="R104" s="8"/>
    </row>
    <row r="105" spans="1:18" ht="30.75">
      <c r="A105" s="8"/>
      <c r="B105" s="8"/>
      <c r="C105" s="8"/>
      <c r="D105" s="73" t="s">
        <v>253</v>
      </c>
      <c r="E105" s="8" t="s">
        <v>285</v>
      </c>
      <c r="F105" s="89"/>
      <c r="G105" s="95" t="s">
        <v>309</v>
      </c>
      <c r="H105" s="8"/>
      <c r="I105" s="8" t="s">
        <v>310</v>
      </c>
      <c r="J105" s="8"/>
      <c r="K105" s="8"/>
      <c r="L105" s="12" t="s">
        <v>15</v>
      </c>
      <c r="M105" s="12" t="s">
        <v>15</v>
      </c>
      <c r="N105" s="90"/>
      <c r="O105" s="8"/>
      <c r="P105" s="73"/>
      <c r="Q105" s="8"/>
      <c r="R105" s="8"/>
    </row>
    <row r="106" spans="1:18" ht="45.75">
      <c r="A106" s="8"/>
      <c r="B106" s="8"/>
      <c r="C106" s="8"/>
      <c r="D106" s="73" t="s">
        <v>253</v>
      </c>
      <c r="E106" s="8" t="s">
        <v>285</v>
      </c>
      <c r="F106" s="89"/>
      <c r="G106" s="95" t="s">
        <v>311</v>
      </c>
      <c r="H106" s="8"/>
      <c r="I106" s="8"/>
      <c r="J106" s="8"/>
      <c r="K106" s="8" t="s">
        <v>312</v>
      </c>
      <c r="L106" s="12" t="s">
        <v>20</v>
      </c>
      <c r="M106" s="12" t="s">
        <v>20</v>
      </c>
      <c r="N106" s="90"/>
      <c r="O106" s="8"/>
      <c r="P106" s="73"/>
      <c r="Q106" s="8"/>
      <c r="R106" s="8"/>
    </row>
    <row r="107" spans="1:18" ht="30.75">
      <c r="A107" s="8">
        <v>64</v>
      </c>
      <c r="B107" s="8"/>
      <c r="C107" s="8"/>
      <c r="D107" s="73" t="s">
        <v>253</v>
      </c>
      <c r="E107" s="8" t="s">
        <v>313</v>
      </c>
      <c r="F107" s="8" t="s">
        <v>66</v>
      </c>
      <c r="G107" s="8" t="s">
        <v>314</v>
      </c>
      <c r="H107" s="8" t="s">
        <v>66</v>
      </c>
      <c r="I107" s="8" t="s">
        <v>315</v>
      </c>
      <c r="J107" s="8"/>
      <c r="K107" s="8" t="s">
        <v>316</v>
      </c>
      <c r="L107" s="12" t="s">
        <v>15</v>
      </c>
      <c r="M107" s="12" t="s">
        <v>15</v>
      </c>
      <c r="N107" s="90"/>
      <c r="O107" s="8"/>
      <c r="P107" s="73"/>
      <c r="Q107" s="8"/>
      <c r="R107" s="8"/>
    </row>
    <row r="108" spans="1:18" ht="30.75">
      <c r="A108" s="8">
        <v>65</v>
      </c>
      <c r="B108" s="8"/>
      <c r="C108" s="8"/>
      <c r="D108" s="8" t="s">
        <v>253</v>
      </c>
      <c r="E108" s="93" t="s">
        <v>317</v>
      </c>
      <c r="F108" s="93" t="s">
        <v>66</v>
      </c>
      <c r="G108" s="93" t="s">
        <v>318</v>
      </c>
      <c r="H108" s="93" t="s">
        <v>66</v>
      </c>
      <c r="I108" s="93" t="s">
        <v>319</v>
      </c>
      <c r="J108" s="93"/>
      <c r="K108" s="93"/>
      <c r="L108" s="94" t="s">
        <v>15</v>
      </c>
      <c r="M108" s="94" t="s">
        <v>15</v>
      </c>
      <c r="N108" s="8"/>
      <c r="O108" s="8"/>
      <c r="P108" s="73"/>
      <c r="Q108" s="8"/>
      <c r="R108" s="8"/>
    </row>
    <row r="109" spans="1:18" ht="30.75">
      <c r="A109" s="8">
        <v>66</v>
      </c>
      <c r="B109" s="8"/>
      <c r="C109" s="8"/>
      <c r="D109" s="8" t="s">
        <v>253</v>
      </c>
      <c r="E109" s="8" t="s">
        <v>320</v>
      </c>
      <c r="F109" s="8" t="s">
        <v>66</v>
      </c>
      <c r="G109" s="8" t="s">
        <v>321</v>
      </c>
      <c r="H109" s="8" t="s">
        <v>66</v>
      </c>
      <c r="I109" s="8" t="s">
        <v>322</v>
      </c>
      <c r="J109" s="8"/>
      <c r="K109" s="8"/>
      <c r="L109" s="12" t="s">
        <v>15</v>
      </c>
      <c r="M109" s="12" t="s">
        <v>15</v>
      </c>
      <c r="N109" s="8"/>
      <c r="O109" s="8"/>
      <c r="P109" s="73"/>
      <c r="Q109" s="8"/>
      <c r="R109" s="8"/>
    </row>
    <row r="110" spans="1:18" ht="30.75">
      <c r="A110" s="11"/>
      <c r="B110" s="11"/>
      <c r="C110" s="11"/>
      <c r="D110" s="74" t="s">
        <v>253</v>
      </c>
      <c r="E110" s="11" t="s">
        <v>323</v>
      </c>
      <c r="F110" s="101"/>
      <c r="G110" s="102" t="s">
        <v>324</v>
      </c>
      <c r="H110" s="11"/>
      <c r="I110" s="11" t="s">
        <v>325</v>
      </c>
      <c r="J110" s="11"/>
      <c r="K110" s="11"/>
      <c r="L110" s="92" t="s">
        <v>15</v>
      </c>
      <c r="M110" s="12" t="s">
        <v>15</v>
      </c>
      <c r="N110" s="103"/>
      <c r="O110" s="11"/>
      <c r="P110" s="74"/>
      <c r="Q110" s="11"/>
      <c r="R110" s="11"/>
    </row>
    <row r="111" spans="1:18">
      <c r="A111" s="8"/>
      <c r="B111" s="8"/>
      <c r="C111" s="8"/>
      <c r="D111" s="8"/>
      <c r="E111" s="8" t="s">
        <v>326</v>
      </c>
      <c r="F111" s="8"/>
      <c r="G111" s="8"/>
      <c r="H111" s="8"/>
      <c r="I111" s="8" t="s">
        <v>327</v>
      </c>
      <c r="J111" s="8"/>
      <c r="K111" s="8"/>
      <c r="L111" s="92" t="s">
        <v>15</v>
      </c>
      <c r="M111" s="12" t="s">
        <v>15</v>
      </c>
      <c r="N111" s="8"/>
      <c r="O111" s="8"/>
      <c r="P111" s="8"/>
      <c r="Q111" s="8"/>
      <c r="R111" s="8"/>
    </row>
    <row r="112" spans="1:18">
      <c r="A112" s="8"/>
      <c r="B112" s="8"/>
      <c r="C112" s="8"/>
      <c r="D112" s="8"/>
      <c r="E112" s="8" t="s">
        <v>328</v>
      </c>
      <c r="F112" s="8"/>
      <c r="G112" s="8"/>
      <c r="H112" s="8"/>
      <c r="I112" s="8" t="s">
        <v>329</v>
      </c>
      <c r="J112" s="8"/>
      <c r="K112" s="8"/>
      <c r="L112" s="92" t="s">
        <v>15</v>
      </c>
      <c r="M112" s="12" t="s">
        <v>15</v>
      </c>
      <c r="N112" s="8"/>
      <c r="O112" s="8"/>
      <c r="P112" s="8"/>
      <c r="Q112" s="8"/>
      <c r="R112" s="8"/>
    </row>
    <row r="113" spans="1:18">
      <c r="A113" s="8"/>
      <c r="B113" s="8"/>
      <c r="C113" s="8"/>
      <c r="D113" s="8"/>
      <c r="E113" s="8" t="s">
        <v>330</v>
      </c>
      <c r="F113" s="8"/>
      <c r="G113" s="8"/>
      <c r="H113" s="8"/>
      <c r="I113" s="8" t="s">
        <v>331</v>
      </c>
      <c r="J113" s="8"/>
      <c r="K113" s="8"/>
      <c r="L113" s="92" t="s">
        <v>15</v>
      </c>
      <c r="M113" s="12" t="s">
        <v>15</v>
      </c>
      <c r="N113" s="8"/>
      <c r="O113" s="8"/>
      <c r="P113" s="8"/>
      <c r="Q113" s="8"/>
      <c r="R113" s="8"/>
    </row>
    <row r="114" spans="1:18">
      <c r="A114" s="8"/>
      <c r="B114" s="8"/>
      <c r="C114" s="8"/>
      <c r="D114" s="8"/>
      <c r="E114" s="8" t="s">
        <v>332</v>
      </c>
      <c r="F114" s="8"/>
      <c r="G114" s="8"/>
      <c r="H114" s="8"/>
      <c r="I114" s="8" t="s">
        <v>333</v>
      </c>
      <c r="J114" s="8"/>
      <c r="K114" s="8"/>
      <c r="L114" s="92" t="s">
        <v>15</v>
      </c>
      <c r="M114" s="12" t="s">
        <v>15</v>
      </c>
      <c r="N114" s="8"/>
      <c r="O114" s="8"/>
      <c r="P114" s="8"/>
      <c r="Q114" s="8"/>
      <c r="R114" s="8"/>
    </row>
    <row r="115" spans="1:18">
      <c r="A115" s="8"/>
      <c r="B115" s="8"/>
      <c r="C115" s="8"/>
      <c r="D115" s="8"/>
      <c r="E115" s="8" t="s">
        <v>334</v>
      </c>
      <c r="F115" s="8"/>
      <c r="G115" s="8"/>
      <c r="H115" s="8"/>
      <c r="I115" s="8" t="s">
        <v>335</v>
      </c>
      <c r="J115" s="8"/>
      <c r="K115" s="8"/>
      <c r="L115" s="8"/>
      <c r="M115" s="12" t="s">
        <v>15</v>
      </c>
      <c r="N115" s="8"/>
      <c r="O115" s="8"/>
      <c r="P115" s="8"/>
      <c r="Q115" s="8"/>
      <c r="R115" s="8"/>
    </row>
    <row r="116" spans="1:18">
      <c r="A116" s="8"/>
      <c r="B116" s="8"/>
      <c r="C116" s="8"/>
      <c r="D116" s="8"/>
      <c r="E116" s="8" t="s">
        <v>336</v>
      </c>
      <c r="F116" s="8"/>
      <c r="G116" s="8"/>
      <c r="H116" s="8"/>
      <c r="I116" s="8" t="s">
        <v>337</v>
      </c>
      <c r="J116" s="8"/>
      <c r="K116" s="8"/>
      <c r="L116" s="8"/>
      <c r="M116" s="12" t="s">
        <v>15</v>
      </c>
      <c r="N116" s="8"/>
      <c r="O116" s="8"/>
      <c r="P116" s="8"/>
      <c r="Q116" s="8"/>
      <c r="R116" s="8"/>
    </row>
    <row r="117" spans="1:18">
      <c r="A117" s="8"/>
      <c r="B117" s="8"/>
      <c r="C117" s="8"/>
      <c r="D117" s="8"/>
      <c r="E117" s="8" t="s">
        <v>338</v>
      </c>
      <c r="F117" s="8"/>
      <c r="G117" s="8"/>
      <c r="H117" s="8"/>
      <c r="I117" s="8" t="s">
        <v>339</v>
      </c>
      <c r="J117" s="8"/>
      <c r="K117" s="8"/>
      <c r="L117" s="8"/>
      <c r="M117" s="12" t="s">
        <v>20</v>
      </c>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sheetData>
  <autoFilter ref="M1:M122" xr:uid="{F5DAF6ED-D3F0-4F1C-A33C-BE83B2303DA6}"/>
  <mergeCells count="2">
    <mergeCell ref="A2:R2"/>
    <mergeCell ref="A40:R40"/>
  </mergeCells>
  <conditionalFormatting sqref="L3:L11 L53:L74 M41:M74">
    <cfRule type="cellIs" dxfId="55" priority="53" operator="equal">
      <formula>"Ongo"</formula>
    </cfRule>
    <cfRule type="cellIs" dxfId="54" priority="54" operator="equal">
      <formula>"Blocked"</formula>
    </cfRule>
    <cfRule type="cellIs" dxfId="53" priority="55" operator="equal">
      <formula>"Failed"</formula>
    </cfRule>
    <cfRule type="cellIs" dxfId="52" priority="56" operator="equal">
      <formula>"Passed"</formula>
    </cfRule>
  </conditionalFormatting>
  <conditionalFormatting sqref="L12">
    <cfRule type="cellIs" dxfId="51" priority="49" operator="equal">
      <formula>"Ongo"</formula>
    </cfRule>
    <cfRule type="cellIs" dxfId="50" priority="50" operator="equal">
      <formula>"Blocked"</formula>
    </cfRule>
    <cfRule type="cellIs" dxfId="49" priority="51" operator="equal">
      <formula>"Failed"</formula>
    </cfRule>
    <cfRule type="cellIs" dxfId="48" priority="52" operator="equal">
      <formula>"Passed"</formula>
    </cfRule>
  </conditionalFormatting>
  <conditionalFormatting sqref="L13">
    <cfRule type="cellIs" dxfId="47" priority="45" operator="equal">
      <formula>"Ongo"</formula>
    </cfRule>
    <cfRule type="cellIs" dxfId="46" priority="46" operator="equal">
      <formula>"Blocked"</formula>
    </cfRule>
    <cfRule type="cellIs" dxfId="45" priority="47" operator="equal">
      <formula>"Failed"</formula>
    </cfRule>
    <cfRule type="cellIs" dxfId="44" priority="48" operator="equal">
      <formula>"Passed"</formula>
    </cfRule>
  </conditionalFormatting>
  <conditionalFormatting sqref="M3:M39">
    <cfRule type="cellIs" dxfId="43" priority="41" operator="equal">
      <formula>"Ongo"</formula>
    </cfRule>
    <cfRule type="cellIs" dxfId="42" priority="42" operator="equal">
      <formula>"Blocked"</formula>
    </cfRule>
    <cfRule type="cellIs" dxfId="41" priority="43" operator="equal">
      <formula>"Failed"</formula>
    </cfRule>
    <cfRule type="cellIs" dxfId="40" priority="44" operator="equal">
      <formula>"Passed"</formula>
    </cfRule>
  </conditionalFormatting>
  <conditionalFormatting sqref="M76:M80 M83:M86 M92:M117">
    <cfRule type="cellIs" dxfId="39" priority="37" operator="equal">
      <formula>"Ongo"</formula>
    </cfRule>
    <cfRule type="cellIs" dxfId="38" priority="38" operator="equal">
      <formula>"Blocked"</formula>
    </cfRule>
    <cfRule type="cellIs" dxfId="37" priority="39" operator="equal">
      <formula>"Failed"</formula>
    </cfRule>
    <cfRule type="cellIs" dxfId="36" priority="40" operator="equal">
      <formula>"Passed"</formula>
    </cfRule>
  </conditionalFormatting>
  <conditionalFormatting sqref="L76:L114">
    <cfRule type="cellIs" dxfId="35" priority="33" operator="equal">
      <formula>"Ongo"</formula>
    </cfRule>
    <cfRule type="cellIs" dxfId="34" priority="34" operator="equal">
      <formula>"Blocked"</formula>
    </cfRule>
    <cfRule type="cellIs" dxfId="33" priority="35" operator="equal">
      <formula>"Failed"</formula>
    </cfRule>
    <cfRule type="cellIs" dxfId="32" priority="36" operator="equal">
      <formula>"Passed"</formula>
    </cfRule>
  </conditionalFormatting>
  <conditionalFormatting sqref="L41:L49">
    <cfRule type="cellIs" dxfId="31" priority="29" operator="equal">
      <formula>"Ongo"</formula>
    </cfRule>
    <cfRule type="cellIs" dxfId="30" priority="30" operator="equal">
      <formula>"Blocked"</formula>
    </cfRule>
    <cfRule type="cellIs" dxfId="29" priority="31" operator="equal">
      <formula>"Failed"</formula>
    </cfRule>
    <cfRule type="cellIs" dxfId="28" priority="32" operator="equal">
      <formula>"Passed"</formula>
    </cfRule>
  </conditionalFormatting>
  <conditionalFormatting sqref="L14:L25 L27:L39">
    <cfRule type="cellIs" dxfId="27" priority="25" operator="equal">
      <formula>"Ongo"</formula>
    </cfRule>
    <cfRule type="cellIs" dxfId="26" priority="26" operator="equal">
      <formula>"Blocked"</formula>
    </cfRule>
    <cfRule type="cellIs" dxfId="25" priority="27" operator="equal">
      <formula>"Failed"</formula>
    </cfRule>
    <cfRule type="cellIs" dxfId="24" priority="28" operator="equal">
      <formula>"Passed"</formula>
    </cfRule>
  </conditionalFormatting>
  <conditionalFormatting sqref="L26">
    <cfRule type="cellIs" dxfId="23" priority="21" operator="equal">
      <formula>"Ongo"</formula>
    </cfRule>
    <cfRule type="cellIs" dxfId="22" priority="22" operator="equal">
      <formula>"Blocked"</formula>
    </cfRule>
    <cfRule type="cellIs" dxfId="21" priority="23" operator="equal">
      <formula>"Failed"</formula>
    </cfRule>
    <cfRule type="cellIs" dxfId="20" priority="24" operator="equal">
      <formula>"Passed"</formula>
    </cfRule>
  </conditionalFormatting>
  <conditionalFormatting sqref="L50:L52">
    <cfRule type="cellIs" dxfId="19" priority="17" operator="equal">
      <formula>"Ongo"</formula>
    </cfRule>
    <cfRule type="cellIs" dxfId="18" priority="18" operator="equal">
      <formula>"Blocked"</formula>
    </cfRule>
    <cfRule type="cellIs" dxfId="17" priority="19" operator="equal">
      <formula>"Failed"</formula>
    </cfRule>
    <cfRule type="cellIs" dxfId="16" priority="20" operator="equal">
      <formula>"Passed"</formula>
    </cfRule>
  </conditionalFormatting>
  <conditionalFormatting sqref="M81">
    <cfRule type="cellIs" dxfId="15" priority="13" operator="equal">
      <formula>"Ongo"</formula>
    </cfRule>
    <cfRule type="cellIs" dxfId="14" priority="14" operator="equal">
      <formula>"Blocked"</formula>
    </cfRule>
    <cfRule type="cellIs" dxfId="13" priority="15" operator="equal">
      <formula>"Failed"</formula>
    </cfRule>
    <cfRule type="cellIs" dxfId="12" priority="16" operator="equal">
      <formula>"Passed"</formula>
    </cfRule>
  </conditionalFormatting>
  <conditionalFormatting sqref="M82">
    <cfRule type="cellIs" dxfId="11" priority="9" operator="equal">
      <formula>"Ongo"</formula>
    </cfRule>
    <cfRule type="cellIs" dxfId="10" priority="10" operator="equal">
      <formula>"Blocked"</formula>
    </cfRule>
    <cfRule type="cellIs" dxfId="9" priority="11" operator="equal">
      <formula>"Failed"</formula>
    </cfRule>
    <cfRule type="cellIs" dxfId="8" priority="12" operator="equal">
      <formula>"Passed"</formula>
    </cfRule>
  </conditionalFormatting>
  <conditionalFormatting sqref="M87:M90">
    <cfRule type="cellIs" dxfId="7" priority="5" operator="equal">
      <formula>"Ongo"</formula>
    </cfRule>
    <cfRule type="cellIs" dxfId="6" priority="6" operator="equal">
      <formula>"Blocked"</formula>
    </cfRule>
    <cfRule type="cellIs" dxfId="5" priority="7" operator="equal">
      <formula>"Failed"</formula>
    </cfRule>
    <cfRule type="cellIs" dxfId="4" priority="8" operator="equal">
      <formula>"Passed"</formula>
    </cfRule>
  </conditionalFormatting>
  <conditionalFormatting sqref="M91">
    <cfRule type="cellIs" dxfId="3" priority="1" operator="equal">
      <formula>"Ongo"</formula>
    </cfRule>
    <cfRule type="cellIs" dxfId="2" priority="2" operator="equal">
      <formula>"Blocked"</formula>
    </cfRule>
    <cfRule type="cellIs" dxfId="1" priority="3" operator="equal">
      <formula>"Failed"</formula>
    </cfRule>
    <cfRule type="cellIs" dxfId="0" priority="4" operator="equal">
      <formula>"Passed"</formula>
    </cfRule>
  </conditionalFormatting>
  <dataValidations count="1">
    <dataValidation type="list" allowBlank="1" showInputMessage="1" showErrorMessage="1" sqref="L3:M39 L41:M74 L76:L114 M76:M117" xr:uid="{CFDF7459-1658-45E7-A3F6-E9A9E52D64D0}">
      <formula1>"Passed,Failed,Ongo,Blocked,Norun,Skip"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D789-4225-4AE1-AF5B-D184531E6FD6}">
  <dimension ref="A1:O30"/>
  <sheetViews>
    <sheetView topLeftCell="B1" workbookViewId="0">
      <selection activeCell="J9" sqref="J9"/>
    </sheetView>
  </sheetViews>
  <sheetFormatPr defaultRowHeight="15"/>
  <cols>
    <col min="1" max="1" width="6.42578125" customWidth="1"/>
    <col min="2" max="2" width="26.5703125" customWidth="1"/>
    <col min="3" max="3" width="19.7109375" customWidth="1"/>
    <col min="4" max="4" width="24.5703125" customWidth="1"/>
    <col min="5" max="6" width="9.140625" bestFit="1" customWidth="1"/>
    <col min="7" max="7" width="23.7109375" customWidth="1"/>
    <col min="8" max="8" width="13.28515625" customWidth="1"/>
    <col min="9" max="9" width="14.5703125" customWidth="1"/>
    <col min="10" max="10" width="26.42578125" customWidth="1"/>
    <col min="11" max="11" width="7" customWidth="1"/>
    <col min="12" max="12" width="33.85546875" customWidth="1"/>
    <col min="13" max="13" width="15.85546875" customWidth="1"/>
    <col min="14" max="14" width="27.5703125" customWidth="1"/>
  </cols>
  <sheetData>
    <row r="1" spans="1:15">
      <c r="A1" s="110" t="s">
        <v>340</v>
      </c>
      <c r="B1" s="110" t="s">
        <v>341</v>
      </c>
      <c r="C1" s="110" t="s">
        <v>342</v>
      </c>
      <c r="D1" s="110" t="s">
        <v>343</v>
      </c>
      <c r="G1" s="110" t="s">
        <v>344</v>
      </c>
      <c r="H1" s="111" t="s">
        <v>345</v>
      </c>
      <c r="I1" s="111" t="s">
        <v>346</v>
      </c>
      <c r="J1" s="111" t="s">
        <v>347</v>
      </c>
      <c r="L1" s="112" t="s">
        <v>348</v>
      </c>
      <c r="M1" s="112" t="s">
        <v>342</v>
      </c>
      <c r="N1" s="113" t="s">
        <v>349</v>
      </c>
      <c r="O1" s="113" t="s">
        <v>350</v>
      </c>
    </row>
    <row r="2" spans="1:15" ht="45.75">
      <c r="A2" s="8">
        <v>1</v>
      </c>
      <c r="B2" s="8" t="s">
        <v>351</v>
      </c>
      <c r="C2" s="8" t="s">
        <v>352</v>
      </c>
      <c r="D2" s="87"/>
      <c r="G2" s="49" t="s">
        <v>353</v>
      </c>
      <c r="H2" s="49">
        <v>983939492</v>
      </c>
      <c r="I2" s="49"/>
      <c r="J2" s="49" t="s">
        <v>354</v>
      </c>
      <c r="L2" s="8" t="s">
        <v>355</v>
      </c>
      <c r="M2" s="73" t="s">
        <v>356</v>
      </c>
      <c r="N2" s="98" t="s">
        <v>357</v>
      </c>
    </row>
    <row r="3" spans="1:15" ht="30.75">
      <c r="A3" s="8">
        <v>2</v>
      </c>
      <c r="B3" s="8" t="s">
        <v>358</v>
      </c>
      <c r="C3" s="8" t="s">
        <v>359</v>
      </c>
      <c r="D3" s="87"/>
      <c r="G3" s="49"/>
      <c r="H3" s="49"/>
      <c r="I3" s="49"/>
      <c r="J3" s="49"/>
      <c r="L3" s="8" t="s">
        <v>360</v>
      </c>
      <c r="M3" s="73" t="s">
        <v>361</v>
      </c>
      <c r="N3" s="98" t="s">
        <v>362</v>
      </c>
    </row>
    <row r="4" spans="1:15" ht="30.75">
      <c r="A4" s="8">
        <v>3</v>
      </c>
      <c r="B4" s="8" t="s">
        <v>363</v>
      </c>
      <c r="C4" s="8" t="s">
        <v>364</v>
      </c>
      <c r="D4" s="87"/>
      <c r="G4" s="49" t="s">
        <v>353</v>
      </c>
      <c r="H4" s="49">
        <v>976603013</v>
      </c>
      <c r="I4" s="49"/>
      <c r="J4" s="49"/>
      <c r="L4" s="8" t="s">
        <v>365</v>
      </c>
      <c r="M4" s="73" t="s">
        <v>366</v>
      </c>
      <c r="N4" s="98" t="s">
        <v>367</v>
      </c>
      <c r="O4" t="s">
        <v>368</v>
      </c>
    </row>
    <row r="5" spans="1:15" ht="45.75">
      <c r="A5" s="8">
        <v>4</v>
      </c>
      <c r="B5" s="8" t="s">
        <v>369</v>
      </c>
      <c r="C5" s="8" t="s">
        <v>364</v>
      </c>
      <c r="D5" s="87"/>
      <c r="G5" s="49" t="s">
        <v>370</v>
      </c>
      <c r="H5" s="49">
        <v>901933138</v>
      </c>
      <c r="I5" s="49"/>
      <c r="J5" s="49"/>
      <c r="L5" s="8" t="s">
        <v>371</v>
      </c>
      <c r="M5" s="73" t="s">
        <v>366</v>
      </c>
      <c r="N5" s="98" t="s">
        <v>372</v>
      </c>
      <c r="O5" t="s">
        <v>373</v>
      </c>
    </row>
    <row r="6" spans="1:15" ht="45.75">
      <c r="A6" s="8">
        <v>5</v>
      </c>
      <c r="B6" s="8" t="s">
        <v>374</v>
      </c>
      <c r="C6" s="8" t="s">
        <v>361</v>
      </c>
      <c r="D6" s="87"/>
      <c r="G6" s="49" t="s">
        <v>375</v>
      </c>
      <c r="H6" s="49">
        <v>835089254</v>
      </c>
      <c r="I6" s="49"/>
      <c r="J6" s="49"/>
      <c r="L6" s="8" t="s">
        <v>376</v>
      </c>
      <c r="M6" s="114" t="s">
        <v>377</v>
      </c>
      <c r="N6" s="98" t="s">
        <v>378</v>
      </c>
      <c r="O6" t="s">
        <v>379</v>
      </c>
    </row>
    <row r="7" spans="1:15" ht="45.75">
      <c r="A7" s="8">
        <v>6</v>
      </c>
      <c r="B7" s="8" t="s">
        <v>380</v>
      </c>
      <c r="C7" s="8" t="s">
        <v>366</v>
      </c>
      <c r="D7" s="87"/>
      <c r="G7" s="49" t="s">
        <v>381</v>
      </c>
      <c r="H7" s="49">
        <v>939990360</v>
      </c>
      <c r="I7" s="49"/>
      <c r="J7" s="49" t="s">
        <v>382</v>
      </c>
      <c r="L7" s="8" t="s">
        <v>383</v>
      </c>
      <c r="M7" s="73" t="s">
        <v>361</v>
      </c>
      <c r="N7" s="98" t="s">
        <v>384</v>
      </c>
    </row>
    <row r="8" spans="1:15" ht="45.75">
      <c r="A8" s="8">
        <v>7</v>
      </c>
      <c r="B8" s="8" t="s">
        <v>385</v>
      </c>
      <c r="C8" s="8" t="s">
        <v>359</v>
      </c>
      <c r="D8" s="87"/>
      <c r="G8" s="49" t="s">
        <v>386</v>
      </c>
      <c r="H8" s="49">
        <v>972675947</v>
      </c>
      <c r="I8" s="49"/>
      <c r="J8" s="49" t="s">
        <v>387</v>
      </c>
      <c r="L8" s="11" t="s">
        <v>388</v>
      </c>
      <c r="M8" s="74" t="s">
        <v>389</v>
      </c>
      <c r="N8" s="119" t="s">
        <v>390</v>
      </c>
      <c r="O8" t="s">
        <v>379</v>
      </c>
    </row>
    <row r="9" spans="1:15" ht="45.75">
      <c r="A9" s="8">
        <v>8</v>
      </c>
      <c r="B9" s="8" t="s">
        <v>391</v>
      </c>
      <c r="C9" s="8" t="s">
        <v>392</v>
      </c>
      <c r="D9" s="87"/>
      <c r="G9" s="49" t="s">
        <v>393</v>
      </c>
      <c r="H9" s="49">
        <v>353734466</v>
      </c>
      <c r="I9" s="49" t="s">
        <v>394</v>
      </c>
      <c r="J9" s="49" t="s">
        <v>395</v>
      </c>
      <c r="L9" s="8" t="s">
        <v>396</v>
      </c>
      <c r="M9" s="74" t="s">
        <v>389</v>
      </c>
      <c r="N9" s="98" t="s">
        <v>397</v>
      </c>
      <c r="O9" t="s">
        <v>379</v>
      </c>
    </row>
    <row r="10" spans="1:15">
      <c r="A10" s="8">
        <v>9</v>
      </c>
      <c r="B10" s="8" t="s">
        <v>398</v>
      </c>
      <c r="C10" s="8" t="s">
        <v>392</v>
      </c>
      <c r="D10" s="49"/>
      <c r="G10" s="49" t="s">
        <v>393</v>
      </c>
      <c r="H10" s="49">
        <v>357045656</v>
      </c>
      <c r="I10" s="49" t="s">
        <v>394</v>
      </c>
      <c r="J10" s="49" t="s">
        <v>395</v>
      </c>
      <c r="L10" s="87"/>
      <c r="M10" s="87"/>
      <c r="N10" s="49"/>
    </row>
    <row r="11" spans="1:15">
      <c r="A11" s="8">
        <v>10</v>
      </c>
      <c r="B11" s="49" t="s">
        <v>399</v>
      </c>
      <c r="C11" s="8" t="s">
        <v>392</v>
      </c>
      <c r="D11" s="49"/>
      <c r="G11" s="49" t="s">
        <v>393</v>
      </c>
      <c r="H11" s="49">
        <v>974031025</v>
      </c>
      <c r="I11" s="49" t="s">
        <v>394</v>
      </c>
      <c r="J11" s="49" t="s">
        <v>395</v>
      </c>
      <c r="L11" s="8"/>
      <c r="M11" s="8"/>
      <c r="N11" s="49"/>
    </row>
    <row r="12" spans="1:15" ht="45.75">
      <c r="A12" s="8">
        <v>11</v>
      </c>
      <c r="B12" s="8" t="s">
        <v>400</v>
      </c>
      <c r="C12" s="49" t="s">
        <v>359</v>
      </c>
      <c r="D12" s="49"/>
      <c r="G12" s="49" t="s">
        <v>386</v>
      </c>
      <c r="H12" s="49">
        <v>762354340</v>
      </c>
      <c r="I12" s="49"/>
      <c r="J12" s="49"/>
      <c r="L12" s="95" t="s">
        <v>355</v>
      </c>
      <c r="M12" s="117" t="s">
        <v>356</v>
      </c>
      <c r="N12" s="98" t="s">
        <v>401</v>
      </c>
    </row>
    <row r="13" spans="1:15" ht="30.75">
      <c r="A13" s="8">
        <v>12</v>
      </c>
      <c r="B13" s="8" t="s">
        <v>402</v>
      </c>
      <c r="C13" s="49" t="s">
        <v>359</v>
      </c>
      <c r="D13" s="49" t="s">
        <v>403</v>
      </c>
      <c r="G13" s="49" t="s">
        <v>404</v>
      </c>
      <c r="H13" s="49">
        <v>935384984</v>
      </c>
      <c r="I13" s="49"/>
      <c r="J13" s="49"/>
      <c r="L13" s="95" t="s">
        <v>360</v>
      </c>
      <c r="M13" s="117" t="s">
        <v>361</v>
      </c>
      <c r="N13" s="98" t="s">
        <v>405</v>
      </c>
    </row>
    <row r="14" spans="1:15" ht="30.75">
      <c r="A14" s="8">
        <v>13</v>
      </c>
      <c r="B14" s="49"/>
      <c r="C14" s="49"/>
      <c r="D14" s="49"/>
      <c r="G14" s="49" t="s">
        <v>406</v>
      </c>
      <c r="H14" s="49">
        <v>947779549</v>
      </c>
      <c r="I14" s="49"/>
      <c r="J14" s="49"/>
      <c r="L14" s="95" t="s">
        <v>407</v>
      </c>
      <c r="M14" s="117" t="s">
        <v>366</v>
      </c>
      <c r="N14" s="98" t="s">
        <v>408</v>
      </c>
      <c r="O14" t="s">
        <v>368</v>
      </c>
    </row>
    <row r="15" spans="1:15" ht="45.75">
      <c r="A15" s="8">
        <v>14</v>
      </c>
      <c r="B15" s="49"/>
      <c r="C15" s="49"/>
      <c r="D15" s="49"/>
      <c r="G15" s="49" t="s">
        <v>409</v>
      </c>
      <c r="H15" s="49">
        <v>914963479</v>
      </c>
      <c r="I15" s="49"/>
      <c r="J15" s="49"/>
      <c r="L15" s="95" t="s">
        <v>371</v>
      </c>
      <c r="M15" s="117" t="s">
        <v>366</v>
      </c>
      <c r="N15" s="98" t="s">
        <v>410</v>
      </c>
      <c r="O15" t="s">
        <v>373</v>
      </c>
    </row>
    <row r="16" spans="1:15" ht="30.75">
      <c r="A16" s="8">
        <v>15</v>
      </c>
      <c r="B16" s="49"/>
      <c r="C16" s="49"/>
      <c r="D16" s="49"/>
      <c r="G16" s="49" t="s">
        <v>409</v>
      </c>
      <c r="H16" s="49">
        <v>983403177</v>
      </c>
      <c r="I16" s="49"/>
      <c r="J16" s="49"/>
      <c r="L16" s="95" t="s">
        <v>376</v>
      </c>
      <c r="M16" s="114" t="s">
        <v>377</v>
      </c>
      <c r="N16" s="98" t="s">
        <v>411</v>
      </c>
      <c r="O16" t="s">
        <v>412</v>
      </c>
    </row>
    <row r="17" spans="1:15" ht="30.75">
      <c r="A17" s="8">
        <v>16</v>
      </c>
      <c r="B17" s="49"/>
      <c r="C17" s="49"/>
      <c r="D17" s="49"/>
      <c r="G17" s="49" t="s">
        <v>413</v>
      </c>
      <c r="H17" s="49">
        <v>932690296</v>
      </c>
      <c r="I17" s="49" t="s">
        <v>394</v>
      </c>
      <c r="J17" s="49"/>
      <c r="L17" s="95" t="s">
        <v>383</v>
      </c>
      <c r="M17" s="117" t="s">
        <v>361</v>
      </c>
      <c r="N17" s="98" t="s">
        <v>414</v>
      </c>
    </row>
    <row r="18" spans="1:15" ht="30.75">
      <c r="A18" s="8">
        <v>17</v>
      </c>
      <c r="B18" s="49"/>
      <c r="C18" s="49"/>
      <c r="D18" s="49"/>
      <c r="G18" s="49" t="s">
        <v>413</v>
      </c>
      <c r="H18" s="49">
        <v>902625675</v>
      </c>
      <c r="I18" s="49"/>
      <c r="J18" s="49"/>
      <c r="L18" s="102" t="s">
        <v>415</v>
      </c>
      <c r="M18" s="118" t="s">
        <v>389</v>
      </c>
      <c r="N18" s="98" t="s">
        <v>416</v>
      </c>
    </row>
    <row r="19" spans="1:15" ht="45.75">
      <c r="A19" s="8">
        <v>18</v>
      </c>
      <c r="B19" s="49"/>
      <c r="C19" s="49"/>
      <c r="D19" s="49"/>
      <c r="G19" s="49" t="s">
        <v>413</v>
      </c>
      <c r="H19" s="49">
        <v>938768524</v>
      </c>
      <c r="I19" s="49"/>
      <c r="J19" s="49"/>
      <c r="L19" s="95" t="s">
        <v>417</v>
      </c>
      <c r="M19" s="95" t="s">
        <v>366</v>
      </c>
      <c r="N19" s="98" t="s">
        <v>418</v>
      </c>
      <c r="O19" t="s">
        <v>373</v>
      </c>
    </row>
    <row r="20" spans="1:15">
      <c r="A20" s="8">
        <v>19</v>
      </c>
      <c r="B20" s="87"/>
      <c r="C20" s="87"/>
      <c r="D20" s="87"/>
      <c r="G20" s="49" t="s">
        <v>419</v>
      </c>
      <c r="H20" s="49">
        <v>906593663</v>
      </c>
      <c r="I20" s="49"/>
      <c r="J20" s="49"/>
      <c r="L20" s="8"/>
      <c r="M20" s="8"/>
      <c r="N20" s="49"/>
    </row>
    <row r="21" spans="1:15">
      <c r="A21" s="8">
        <v>20</v>
      </c>
      <c r="B21" s="87"/>
      <c r="C21" s="87"/>
      <c r="D21" s="87"/>
      <c r="G21" s="49"/>
      <c r="H21" s="49"/>
      <c r="I21" s="49"/>
      <c r="J21" s="49"/>
      <c r="L21" s="93"/>
      <c r="M21" s="105"/>
      <c r="N21" s="115"/>
    </row>
    <row r="22" spans="1:15">
      <c r="A22" s="8">
        <v>21</v>
      </c>
      <c r="B22" s="87"/>
      <c r="C22" s="87"/>
      <c r="D22" s="87"/>
      <c r="G22" s="49" t="s">
        <v>413</v>
      </c>
      <c r="H22" s="49">
        <v>907502443</v>
      </c>
      <c r="I22" s="49" t="s">
        <v>394</v>
      </c>
      <c r="J22" s="49"/>
      <c r="L22" s="8"/>
      <c r="M22" s="73"/>
      <c r="N22" s="49"/>
    </row>
    <row r="23" spans="1:15">
      <c r="A23" s="8">
        <v>22</v>
      </c>
      <c r="B23" s="87"/>
      <c r="C23" s="87"/>
      <c r="D23" s="87"/>
      <c r="G23" s="49" t="s">
        <v>413</v>
      </c>
      <c r="H23" s="49">
        <v>819097874</v>
      </c>
      <c r="I23" s="49" t="s">
        <v>394</v>
      </c>
      <c r="J23" s="49"/>
      <c r="L23" s="8"/>
      <c r="M23" s="73"/>
      <c r="N23" s="49"/>
    </row>
    <row r="24" spans="1:15">
      <c r="A24" s="8">
        <v>23</v>
      </c>
      <c r="B24" s="87"/>
      <c r="C24" s="87"/>
      <c r="D24" s="87"/>
      <c r="G24" s="49" t="s">
        <v>420</v>
      </c>
      <c r="H24" s="49">
        <v>975560309</v>
      </c>
      <c r="I24" s="49" t="s">
        <v>394</v>
      </c>
      <c r="J24" s="49"/>
    </row>
    <row r="25" spans="1:15">
      <c r="A25" s="8">
        <v>24</v>
      </c>
      <c r="B25" s="87"/>
      <c r="C25" s="87"/>
      <c r="D25" s="87"/>
      <c r="G25" s="49" t="s">
        <v>421</v>
      </c>
      <c r="H25" s="49">
        <v>904592677</v>
      </c>
      <c r="I25" s="49" t="s">
        <v>394</v>
      </c>
      <c r="J25" s="49"/>
    </row>
    <row r="26" spans="1:15">
      <c r="A26" s="8">
        <v>25</v>
      </c>
      <c r="B26" s="87"/>
      <c r="C26" s="87"/>
      <c r="D26" s="87"/>
      <c r="G26" s="49" t="s">
        <v>422</v>
      </c>
      <c r="H26" s="49">
        <v>978035945</v>
      </c>
      <c r="I26" s="49" t="s">
        <v>394</v>
      </c>
      <c r="J26" s="49"/>
    </row>
    <row r="27" spans="1:15">
      <c r="A27" s="8">
        <v>26</v>
      </c>
      <c r="B27" s="87"/>
      <c r="C27" s="87"/>
      <c r="D27" s="87"/>
      <c r="G27" s="49" t="s">
        <v>423</v>
      </c>
      <c r="H27" s="49">
        <v>901566989</v>
      </c>
      <c r="I27" s="49" t="s">
        <v>394</v>
      </c>
      <c r="J27" s="49"/>
    </row>
    <row r="28" spans="1:15">
      <c r="A28" s="8">
        <v>27</v>
      </c>
      <c r="B28" s="87"/>
      <c r="C28" s="87"/>
      <c r="D28" s="87"/>
      <c r="G28" s="49" t="s">
        <v>423</v>
      </c>
      <c r="H28" s="49">
        <v>385600354</v>
      </c>
      <c r="I28" s="49" t="s">
        <v>394</v>
      </c>
      <c r="J28" s="49"/>
    </row>
    <row r="29" spans="1:15">
      <c r="A29" s="8">
        <v>28</v>
      </c>
      <c r="B29" s="87" t="s">
        <v>424</v>
      </c>
      <c r="C29" s="87" t="s">
        <v>425</v>
      </c>
      <c r="D29" s="87"/>
      <c r="G29" s="116" t="s">
        <v>386</v>
      </c>
      <c r="H29" s="87">
        <v>987586153</v>
      </c>
      <c r="I29" s="87"/>
      <c r="J29" s="87"/>
    </row>
    <row r="30" spans="1:15">
      <c r="A30" s="8">
        <v>29</v>
      </c>
      <c r="B30" s="87"/>
      <c r="C30" s="87"/>
      <c r="D30" s="87"/>
    </row>
  </sheetData>
  <hyperlinks>
    <hyperlink ref="G9" r:id="rId1" xr:uid="{99BC836F-5404-401A-87F3-8383C5691564}"/>
    <hyperlink ref="G10" r:id="rId2" xr:uid="{588A167E-29A0-458D-B55E-282710A8FFC5}"/>
    <hyperlink ref="G11" r:id="rId3" xr:uid="{06F60F4C-E9A8-40A3-8C13-53EAD1FE1861}"/>
    <hyperlink ref="G7" r:id="rId4" xr:uid="{BDF1E5C9-88E4-47C2-8964-BEDF92FBF68B}"/>
    <hyperlink ref="G8" r:id="rId5" xr:uid="{871AEBBE-16A3-4305-B5AC-9411C8EEBBBE}"/>
    <hyperlink ref="G12" r:id="rId6" xr:uid="{57B170F7-E0E2-473E-9AC2-81E78867CFD6}"/>
    <hyperlink ref="G2" r:id="rId7" xr:uid="{890C4FBC-D70A-4CC1-9127-5206A6BDCA09}"/>
    <hyperlink ref="G4" r:id="rId8" xr:uid="{C04526E0-C1DF-4956-ADF5-4ACA18C7ED06}"/>
    <hyperlink ref="G5" r:id="rId9" xr:uid="{AAAF8222-323E-4999-A29E-9AD30136A866}"/>
    <hyperlink ref="G6" r:id="rId10" xr:uid="{61D4AD7B-B120-430E-B37F-1B8930043ABF}"/>
    <hyperlink ref="G15" r:id="rId11" xr:uid="{7001678C-8DCE-49C2-BE9A-CAE250E38D92}"/>
    <hyperlink ref="G16" r:id="rId12" xr:uid="{EEA55AB2-B5F5-4610-8B00-4A5CC9C7F637}"/>
    <hyperlink ref="G17" r:id="rId13" xr:uid="{7D6C06A7-73EB-44DF-B679-51B019F04EF7}"/>
    <hyperlink ref="G18" r:id="rId14" xr:uid="{DFA9F13E-D075-40D6-9358-DACA1186AA2B}"/>
    <hyperlink ref="G19" r:id="rId15" xr:uid="{2556048C-4465-489B-8F4A-55A26446BD55}"/>
    <hyperlink ref="H20" r:id="rId16" display="906593663" xr:uid="{F6EA78EE-C8B6-4867-B0FD-45331FF4C53F}"/>
    <hyperlink ref="G20" r:id="rId17" xr:uid="{71172BAE-5141-44B0-9BDA-1971213F09F9}"/>
    <hyperlink ref="H22" r:id="rId18" display="907502443" xr:uid="{D8505034-F2C7-46F7-B522-639527BC83E7}"/>
    <hyperlink ref="H23" r:id="rId19" display="819097874" xr:uid="{CB65C646-13E8-469D-AAAB-EA963D0DCB4B}"/>
    <hyperlink ref="G22" r:id="rId20" xr:uid="{2ACC83BF-CA58-47B4-82C8-CE400D829A13}"/>
    <hyperlink ref="G23" r:id="rId21" xr:uid="{AA5F5AAD-E097-4C5E-91CD-6C1BEAE8A272}"/>
    <hyperlink ref="G24" r:id="rId22" xr:uid="{015F672F-883A-422C-BCA4-643AC39238AE}"/>
    <hyperlink ref="H24" r:id="rId23" display="975560309" xr:uid="{7F950287-698E-40B4-9F88-8CFBF5CB41F3}"/>
    <hyperlink ref="H25" r:id="rId24" display="904592677" xr:uid="{1717F9D6-6619-4388-9631-3AAE2CBDC0EF}"/>
    <hyperlink ref="G25" r:id="rId25" xr:uid="{4E4983EC-5284-4483-A583-BABBB992C789}"/>
    <hyperlink ref="H26" r:id="rId26" display="978035945" xr:uid="{FE5D5ED7-7DC1-42BB-A757-D10EDEBC9067}"/>
    <hyperlink ref="G26" r:id="rId27" xr:uid="{54303742-6247-4BE8-8C36-43B02CF35DD7}"/>
    <hyperlink ref="G27" r:id="rId28" xr:uid="{9B421814-DCA5-4062-821A-22C965E20A1C}"/>
    <hyperlink ref="G28" r:id="rId29" xr:uid="{85B95F25-D83D-41AF-9FF1-0A7462B068AE}"/>
    <hyperlink ref="G29" r:id="rId30" xr:uid="{A31AFB2E-E384-40D2-83BB-487F25993FD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A998-1109-4E77-886C-5488B270CE73}">
  <dimension ref="A1:K131"/>
  <sheetViews>
    <sheetView tabSelected="1" topLeftCell="A64" workbookViewId="0">
      <selection activeCell="G82" sqref="G82"/>
    </sheetView>
  </sheetViews>
  <sheetFormatPr defaultRowHeight="15"/>
  <cols>
    <col min="1" max="1" width="27.7109375" customWidth="1"/>
    <col min="2" max="2" width="22.85546875" customWidth="1"/>
    <col min="3" max="3" width="19.7109375" customWidth="1"/>
    <col min="9" max="9" width="29.140625" customWidth="1"/>
    <col min="10" max="10" width="92.7109375" customWidth="1"/>
    <col min="11" max="11" width="21.5703125" customWidth="1"/>
  </cols>
  <sheetData>
    <row r="1" spans="1:11" ht="30.75">
      <c r="A1" s="97" t="s">
        <v>426</v>
      </c>
      <c r="B1" s="97" t="s">
        <v>427</v>
      </c>
      <c r="C1" s="97"/>
      <c r="I1" s="88" t="s">
        <v>428</v>
      </c>
      <c r="J1" s="96" t="s">
        <v>429</v>
      </c>
      <c r="K1" s="100" t="s">
        <v>430</v>
      </c>
    </row>
    <row r="2" spans="1:11" ht="30.75">
      <c r="A2" s="98" t="s">
        <v>431</v>
      </c>
      <c r="B2" s="49" t="s">
        <v>359</v>
      </c>
      <c r="C2" s="87"/>
      <c r="I2" s="88" t="s">
        <v>432</v>
      </c>
      <c r="J2" s="96" t="s">
        <v>433</v>
      </c>
    </row>
    <row r="3" spans="1:11" ht="60.75">
      <c r="A3" s="98" t="s">
        <v>434</v>
      </c>
      <c r="B3" s="49" t="s">
        <v>392</v>
      </c>
      <c r="C3" s="87"/>
      <c r="I3" s="88"/>
      <c r="J3" s="8" t="s">
        <v>435</v>
      </c>
    </row>
    <row r="4" spans="1:11">
      <c r="A4" s="98" t="s">
        <v>436</v>
      </c>
      <c r="B4" s="49" t="s">
        <v>392</v>
      </c>
      <c r="C4" s="87"/>
      <c r="I4" s="88" t="s">
        <v>437</v>
      </c>
      <c r="J4" s="8"/>
    </row>
    <row r="5" spans="1:11">
      <c r="A5" s="98" t="s">
        <v>438</v>
      </c>
      <c r="B5" s="49" t="s">
        <v>439</v>
      </c>
      <c r="C5" s="87"/>
      <c r="I5" s="88"/>
      <c r="J5" s="8"/>
    </row>
    <row r="6" spans="1:11">
      <c r="A6" s="98" t="s">
        <v>440</v>
      </c>
      <c r="B6" s="49" t="s">
        <v>439</v>
      </c>
      <c r="C6" s="87"/>
      <c r="I6" s="88"/>
      <c r="J6" s="8"/>
    </row>
    <row r="7" spans="1:11">
      <c r="A7" s="98" t="s">
        <v>441</v>
      </c>
      <c r="B7" s="49" t="s">
        <v>439</v>
      </c>
      <c r="C7" s="87"/>
      <c r="I7" s="88" t="s">
        <v>442</v>
      </c>
      <c r="J7" s="8"/>
    </row>
    <row r="8" spans="1:11">
      <c r="A8" s="98" t="s">
        <v>443</v>
      </c>
      <c r="B8" s="49" t="s">
        <v>444</v>
      </c>
      <c r="C8" s="87"/>
      <c r="I8" s="88"/>
      <c r="J8" s="8"/>
    </row>
    <row r="9" spans="1:11">
      <c r="A9" s="98" t="s">
        <v>445</v>
      </c>
      <c r="B9" s="49"/>
      <c r="C9" s="87"/>
      <c r="I9" s="88"/>
      <c r="J9" s="8"/>
    </row>
    <row r="10" spans="1:11" ht="76.5">
      <c r="A10" s="98" t="s">
        <v>446</v>
      </c>
      <c r="B10" s="49" t="s">
        <v>447</v>
      </c>
      <c r="C10" s="87"/>
      <c r="I10" s="88" t="s">
        <v>448</v>
      </c>
      <c r="J10" s="8" t="s">
        <v>449</v>
      </c>
    </row>
    <row r="11" spans="1:11">
      <c r="A11" s="98" t="s">
        <v>450</v>
      </c>
      <c r="B11" s="49" t="s">
        <v>447</v>
      </c>
      <c r="C11" s="87"/>
      <c r="I11" s="8"/>
      <c r="J11" s="96" t="s">
        <v>451</v>
      </c>
      <c r="K11" t="s">
        <v>452</v>
      </c>
    </row>
    <row r="12" spans="1:11">
      <c r="A12" s="98" t="s">
        <v>453</v>
      </c>
      <c r="B12" s="49"/>
      <c r="C12" s="87"/>
      <c r="I12" s="8"/>
      <c r="J12" s="8"/>
    </row>
    <row r="13" spans="1:11" ht="60.75">
      <c r="A13" s="109" t="s">
        <v>454</v>
      </c>
      <c r="B13" s="49" t="s">
        <v>455</v>
      </c>
      <c r="C13" s="87"/>
      <c r="I13" s="88" t="s">
        <v>456</v>
      </c>
      <c r="J13" s="8" t="s">
        <v>457</v>
      </c>
    </row>
    <row r="14" spans="1:11">
      <c r="A14" s="98" t="s">
        <v>458</v>
      </c>
      <c r="B14" s="49" t="s">
        <v>366</v>
      </c>
      <c r="C14" s="87"/>
      <c r="I14" s="8"/>
      <c r="J14" s="8"/>
    </row>
    <row r="15" spans="1:11">
      <c r="A15" s="98" t="s">
        <v>459</v>
      </c>
      <c r="B15" s="49" t="s">
        <v>366</v>
      </c>
      <c r="C15" s="87"/>
      <c r="I15" s="8"/>
      <c r="J15" s="8"/>
    </row>
    <row r="16" spans="1:11" ht="30.75">
      <c r="A16" s="98" t="s">
        <v>460</v>
      </c>
      <c r="B16" s="49" t="s">
        <v>366</v>
      </c>
      <c r="C16" s="87"/>
      <c r="I16" s="88" t="s">
        <v>461</v>
      </c>
      <c r="J16" s="8" t="s">
        <v>462</v>
      </c>
    </row>
    <row r="17" spans="1:10" ht="42" customHeight="1">
      <c r="A17" s="98" t="s">
        <v>463</v>
      </c>
      <c r="B17" s="49" t="s">
        <v>366</v>
      </c>
      <c r="C17" s="87"/>
      <c r="I17" s="88" t="s">
        <v>464</v>
      </c>
      <c r="J17" s="8" t="s">
        <v>465</v>
      </c>
    </row>
    <row r="18" spans="1:10">
      <c r="A18" s="98" t="s">
        <v>466</v>
      </c>
      <c r="B18" s="49" t="s">
        <v>447</v>
      </c>
      <c r="C18" s="87"/>
      <c r="I18" s="8"/>
      <c r="J18" s="8"/>
    </row>
    <row r="19" spans="1:10">
      <c r="A19" s="98" t="s">
        <v>467</v>
      </c>
      <c r="B19" s="49" t="s">
        <v>366</v>
      </c>
      <c r="C19" s="87"/>
      <c r="I19" s="8"/>
      <c r="J19" s="8"/>
    </row>
    <row r="20" spans="1:10">
      <c r="A20" s="98" t="s">
        <v>468</v>
      </c>
      <c r="B20" s="49"/>
      <c r="C20" s="87"/>
      <c r="I20" s="88" t="s">
        <v>469</v>
      </c>
      <c r="J20" s="8"/>
    </row>
    <row r="21" spans="1:10">
      <c r="A21" s="98" t="s">
        <v>470</v>
      </c>
      <c r="B21" s="49" t="s">
        <v>471</v>
      </c>
      <c r="C21" s="87"/>
      <c r="I21" s="8"/>
      <c r="J21" s="8"/>
    </row>
    <row r="22" spans="1:10">
      <c r="A22" s="98" t="s">
        <v>472</v>
      </c>
      <c r="B22" s="49"/>
      <c r="C22" s="87"/>
      <c r="I22" s="8"/>
      <c r="J22" s="8"/>
    </row>
    <row r="23" spans="1:10">
      <c r="A23" s="98" t="s">
        <v>473</v>
      </c>
      <c r="B23" s="49" t="s">
        <v>474</v>
      </c>
      <c r="C23" s="87"/>
      <c r="I23" s="88" t="s">
        <v>475</v>
      </c>
      <c r="J23" s="8" t="s">
        <v>476</v>
      </c>
    </row>
    <row r="24" spans="1:10">
      <c r="A24" s="98" t="s">
        <v>477</v>
      </c>
      <c r="B24" s="49" t="s">
        <v>474</v>
      </c>
      <c r="C24" s="87"/>
      <c r="I24" s="88"/>
      <c r="J24" s="8"/>
    </row>
    <row r="25" spans="1:10" ht="45.75">
      <c r="A25" s="120" t="s">
        <v>478</v>
      </c>
      <c r="B25" s="49" t="s">
        <v>359</v>
      </c>
      <c r="C25" s="87"/>
      <c r="I25" s="88" t="s">
        <v>479</v>
      </c>
      <c r="J25" s="8" t="s">
        <v>480</v>
      </c>
    </row>
    <row r="26" spans="1:10">
      <c r="A26" s="98" t="s">
        <v>481</v>
      </c>
      <c r="B26" s="49"/>
      <c r="C26" s="87"/>
      <c r="I26" s="8"/>
      <c r="J26" s="8"/>
    </row>
    <row r="27" spans="1:10">
      <c r="A27" s="98" t="s">
        <v>482</v>
      </c>
      <c r="B27" s="49"/>
      <c r="C27" s="87"/>
    </row>
    <row r="28" spans="1:10">
      <c r="A28" s="98" t="s">
        <v>468</v>
      </c>
      <c r="B28" s="49" t="s">
        <v>455</v>
      </c>
      <c r="C28" s="87"/>
    </row>
    <row r="29" spans="1:10">
      <c r="A29" s="98" t="s">
        <v>483</v>
      </c>
      <c r="B29" s="49" t="s">
        <v>455</v>
      </c>
      <c r="C29" s="87"/>
    </row>
    <row r="30" spans="1:10">
      <c r="A30" s="98" t="s">
        <v>484</v>
      </c>
      <c r="B30" s="49" t="s">
        <v>455</v>
      </c>
      <c r="C30" s="87"/>
    </row>
    <row r="31" spans="1:10">
      <c r="A31" s="98" t="s">
        <v>485</v>
      </c>
      <c r="B31" s="49" t="s">
        <v>455</v>
      </c>
      <c r="C31" s="87"/>
    </row>
    <row r="32" spans="1:10">
      <c r="A32" s="98" t="s">
        <v>486</v>
      </c>
      <c r="B32" s="49"/>
      <c r="C32" s="87"/>
    </row>
    <row r="33" spans="1:3">
      <c r="A33" s="98" t="s">
        <v>487</v>
      </c>
      <c r="B33" s="49"/>
      <c r="C33" s="87"/>
    </row>
    <row r="34" spans="1:3">
      <c r="A34" s="98" t="s">
        <v>488</v>
      </c>
      <c r="B34" s="49" t="s">
        <v>489</v>
      </c>
      <c r="C34" s="87"/>
    </row>
    <row r="35" spans="1:3">
      <c r="A35" s="98" t="s">
        <v>490</v>
      </c>
      <c r="B35" s="49" t="s">
        <v>489</v>
      </c>
      <c r="C35" s="87"/>
    </row>
    <row r="36" spans="1:3">
      <c r="A36" s="98" t="s">
        <v>491</v>
      </c>
      <c r="B36" s="49" t="s">
        <v>489</v>
      </c>
      <c r="C36" s="87"/>
    </row>
    <row r="37" spans="1:3">
      <c r="A37" s="98" t="s">
        <v>492</v>
      </c>
      <c r="B37" s="49" t="s">
        <v>493</v>
      </c>
      <c r="C37" s="87"/>
    </row>
    <row r="38" spans="1:3">
      <c r="A38" s="98" t="s">
        <v>494</v>
      </c>
      <c r="B38" s="49"/>
      <c r="C38" s="87"/>
    </row>
    <row r="39" spans="1:3">
      <c r="A39" s="98" t="s">
        <v>495</v>
      </c>
      <c r="B39" s="49" t="s">
        <v>455</v>
      </c>
      <c r="C39" s="87"/>
    </row>
    <row r="40" spans="1:3">
      <c r="A40" s="98" t="s">
        <v>496</v>
      </c>
      <c r="B40" s="49" t="s">
        <v>444</v>
      </c>
      <c r="C40" s="87"/>
    </row>
    <row r="41" spans="1:3">
      <c r="A41" s="98" t="s">
        <v>497</v>
      </c>
      <c r="B41" s="49" t="s">
        <v>493</v>
      </c>
      <c r="C41" s="87"/>
    </row>
    <row r="42" spans="1:3">
      <c r="A42" s="98" t="s">
        <v>498</v>
      </c>
      <c r="B42" s="49"/>
      <c r="C42" s="87"/>
    </row>
    <row r="43" spans="1:3">
      <c r="A43" s="98" t="s">
        <v>499</v>
      </c>
      <c r="B43" s="49" t="s">
        <v>455</v>
      </c>
      <c r="C43" s="87"/>
    </row>
    <row r="44" spans="1:3">
      <c r="A44" s="98" t="s">
        <v>500</v>
      </c>
      <c r="B44" s="49" t="s">
        <v>455</v>
      </c>
      <c r="C44" s="87"/>
    </row>
    <row r="45" spans="1:3">
      <c r="A45" s="98" t="s">
        <v>501</v>
      </c>
      <c r="B45" s="49" t="s">
        <v>455</v>
      </c>
      <c r="C45" s="87"/>
    </row>
    <row r="46" spans="1:3">
      <c r="A46" s="98" t="s">
        <v>502</v>
      </c>
      <c r="B46" s="49"/>
      <c r="C46" s="87"/>
    </row>
    <row r="47" spans="1:3">
      <c r="A47" s="98" t="s">
        <v>503</v>
      </c>
      <c r="B47" s="49"/>
      <c r="C47" s="87"/>
    </row>
    <row r="48" spans="1:3">
      <c r="A48" s="98" t="s">
        <v>504</v>
      </c>
      <c r="B48" s="49"/>
      <c r="C48" s="87"/>
    </row>
    <row r="49" spans="1:3">
      <c r="A49" s="98" t="s">
        <v>505</v>
      </c>
      <c r="B49" s="49" t="s">
        <v>474</v>
      </c>
      <c r="C49" s="87" t="s">
        <v>506</v>
      </c>
    </row>
    <row r="50" spans="1:3">
      <c r="A50" s="98" t="s">
        <v>507</v>
      </c>
      <c r="B50" s="49" t="s">
        <v>474</v>
      </c>
      <c r="C50" s="87"/>
    </row>
    <row r="51" spans="1:3">
      <c r="A51" s="98" t="s">
        <v>508</v>
      </c>
      <c r="B51" s="49" t="s">
        <v>352</v>
      </c>
      <c r="C51" s="87"/>
    </row>
    <row r="52" spans="1:3">
      <c r="A52" s="98" t="s">
        <v>472</v>
      </c>
      <c r="B52" s="49" t="s">
        <v>455</v>
      </c>
      <c r="C52" s="87"/>
    </row>
    <row r="53" spans="1:3">
      <c r="A53" s="98" t="s">
        <v>509</v>
      </c>
      <c r="B53" s="49"/>
      <c r="C53" s="87"/>
    </row>
    <row r="54" spans="1:3">
      <c r="A54" s="98" t="s">
        <v>510</v>
      </c>
      <c r="B54" s="49" t="s">
        <v>455</v>
      </c>
      <c r="C54" s="87"/>
    </row>
    <row r="55" spans="1:3">
      <c r="A55" s="98" t="s">
        <v>511</v>
      </c>
      <c r="B55" s="49"/>
      <c r="C55" s="87"/>
    </row>
    <row r="56" spans="1:3">
      <c r="A56" s="98" t="s">
        <v>512</v>
      </c>
      <c r="B56" s="49" t="s">
        <v>493</v>
      </c>
      <c r="C56" s="87"/>
    </row>
    <row r="57" spans="1:3">
      <c r="A57" s="98" t="s">
        <v>513</v>
      </c>
      <c r="B57" s="49" t="s">
        <v>444</v>
      </c>
      <c r="C57" s="87"/>
    </row>
    <row r="58" spans="1:3">
      <c r="A58" s="98" t="s">
        <v>514</v>
      </c>
      <c r="B58" s="49"/>
      <c r="C58" s="87"/>
    </row>
    <row r="59" spans="1:3">
      <c r="A59" s="98" t="s">
        <v>515</v>
      </c>
      <c r="B59" s="49"/>
      <c r="C59" s="87"/>
    </row>
    <row r="60" spans="1:3">
      <c r="A60" s="98" t="s">
        <v>516</v>
      </c>
      <c r="B60" s="49"/>
      <c r="C60" s="87"/>
    </row>
    <row r="61" spans="1:3">
      <c r="A61" s="98" t="s">
        <v>517</v>
      </c>
      <c r="B61" s="49"/>
      <c r="C61" s="87"/>
    </row>
    <row r="62" spans="1:3">
      <c r="A62" s="98" t="s">
        <v>518</v>
      </c>
      <c r="B62" s="49"/>
      <c r="C62" s="87" t="s">
        <v>519</v>
      </c>
    </row>
    <row r="63" spans="1:3">
      <c r="A63" s="98" t="s">
        <v>520</v>
      </c>
      <c r="B63" s="49"/>
      <c r="C63" s="87" t="s">
        <v>519</v>
      </c>
    </row>
    <row r="64" spans="1:3">
      <c r="A64" s="98" t="s">
        <v>521</v>
      </c>
      <c r="B64" s="49" t="s">
        <v>522</v>
      </c>
      <c r="C64" s="87"/>
    </row>
    <row r="65" spans="1:3">
      <c r="A65" s="98" t="s">
        <v>523</v>
      </c>
      <c r="B65" s="49"/>
      <c r="C65" s="87"/>
    </row>
    <row r="66" spans="1:3">
      <c r="A66" s="98" t="s">
        <v>524</v>
      </c>
      <c r="B66" s="49" t="s">
        <v>444</v>
      </c>
      <c r="C66" s="87"/>
    </row>
    <row r="67" spans="1:3">
      <c r="A67" s="98" t="s">
        <v>525</v>
      </c>
      <c r="B67" s="49"/>
      <c r="C67" s="87"/>
    </row>
    <row r="68" spans="1:3">
      <c r="A68" s="98" t="s">
        <v>526</v>
      </c>
      <c r="B68" s="49"/>
      <c r="C68" s="87"/>
    </row>
    <row r="69" spans="1:3">
      <c r="A69" s="98" t="s">
        <v>527</v>
      </c>
      <c r="B69" s="49"/>
      <c r="C69" s="87"/>
    </row>
    <row r="70" spans="1:3">
      <c r="A70" s="98" t="s">
        <v>528</v>
      </c>
      <c r="B70" s="49"/>
      <c r="C70" s="87"/>
    </row>
    <row r="71" spans="1:3">
      <c r="A71" s="98" t="s">
        <v>529</v>
      </c>
      <c r="B71" s="49"/>
      <c r="C71" s="87"/>
    </row>
    <row r="72" spans="1:3">
      <c r="A72" s="98" t="s">
        <v>530</v>
      </c>
      <c r="B72" s="49"/>
      <c r="C72" s="87"/>
    </row>
    <row r="73" spans="1:3">
      <c r="A73" s="98" t="s">
        <v>531</v>
      </c>
      <c r="B73" s="49"/>
      <c r="C73" s="87"/>
    </row>
    <row r="74" spans="1:3">
      <c r="A74" s="98" t="s">
        <v>532</v>
      </c>
      <c r="B74" s="49"/>
      <c r="C74" s="87"/>
    </row>
    <row r="75" spans="1:3">
      <c r="A75" s="98" t="s">
        <v>533</v>
      </c>
      <c r="B75" s="49" t="s">
        <v>444</v>
      </c>
      <c r="C75" s="87"/>
    </row>
    <row r="76" spans="1:3">
      <c r="A76" s="98" t="s">
        <v>534</v>
      </c>
      <c r="B76" s="49"/>
      <c r="C76" s="87"/>
    </row>
    <row r="77" spans="1:3">
      <c r="A77" s="98" t="s">
        <v>535</v>
      </c>
      <c r="B77" s="49"/>
      <c r="C77" s="87"/>
    </row>
    <row r="78" spans="1:3">
      <c r="A78" s="98" t="s">
        <v>536</v>
      </c>
      <c r="B78" s="49"/>
      <c r="C78" s="87"/>
    </row>
    <row r="79" spans="1:3">
      <c r="A79" s="98" t="s">
        <v>537</v>
      </c>
      <c r="B79" s="49"/>
      <c r="C79" s="87"/>
    </row>
    <row r="80" spans="1:3">
      <c r="A80" s="98" t="s">
        <v>538</v>
      </c>
      <c r="B80" s="49"/>
      <c r="C80" s="87"/>
    </row>
    <row r="81" spans="1:3">
      <c r="A81" s="98" t="s">
        <v>539</v>
      </c>
      <c r="B81" s="49"/>
      <c r="C81" s="87"/>
    </row>
    <row r="82" spans="1:3">
      <c r="A82" s="98" t="s">
        <v>540</v>
      </c>
      <c r="B82" s="49"/>
      <c r="C82" s="87"/>
    </row>
    <row r="83" spans="1:3">
      <c r="A83" s="98" t="s">
        <v>541</v>
      </c>
      <c r="B83" s="49"/>
      <c r="C83" s="87"/>
    </row>
    <row r="84" spans="1:3">
      <c r="A84" s="98" t="s">
        <v>542</v>
      </c>
      <c r="B84" s="49" t="s">
        <v>543</v>
      </c>
      <c r="C84" s="87"/>
    </row>
    <row r="85" spans="1:3">
      <c r="A85" s="98" t="s">
        <v>544</v>
      </c>
      <c r="B85" s="49"/>
      <c r="C85" s="87"/>
    </row>
    <row r="86" spans="1:3">
      <c r="A86" s="98" t="s">
        <v>545</v>
      </c>
      <c r="B86" s="49"/>
      <c r="C86" s="87"/>
    </row>
    <row r="87" spans="1:3">
      <c r="A87" s="98" t="s">
        <v>546</v>
      </c>
      <c r="B87" s="49"/>
      <c r="C87" s="87"/>
    </row>
    <row r="88" spans="1:3">
      <c r="A88" s="98" t="s">
        <v>547</v>
      </c>
      <c r="B88" s="49"/>
      <c r="C88" s="87"/>
    </row>
    <row r="89" spans="1:3">
      <c r="A89" s="98" t="s">
        <v>548</v>
      </c>
      <c r="B89" s="49"/>
      <c r="C89" s="87"/>
    </row>
    <row r="90" spans="1:3">
      <c r="A90" s="98" t="s">
        <v>549</v>
      </c>
      <c r="B90" s="49"/>
      <c r="C90" s="87"/>
    </row>
    <row r="91" spans="1:3">
      <c r="A91" s="98" t="s">
        <v>550</v>
      </c>
      <c r="B91" s="49"/>
      <c r="C91" s="87"/>
    </row>
    <row r="92" spans="1:3">
      <c r="A92" s="98" t="s">
        <v>551</v>
      </c>
      <c r="B92" s="49"/>
      <c r="C92" s="87"/>
    </row>
    <row r="93" spans="1:3">
      <c r="A93" s="98" t="s">
        <v>552</v>
      </c>
      <c r="B93" s="49" t="s">
        <v>444</v>
      </c>
      <c r="C93" s="87"/>
    </row>
    <row r="94" spans="1:3">
      <c r="A94" s="98" t="s">
        <v>553</v>
      </c>
      <c r="B94" s="49"/>
      <c r="C94" s="87"/>
    </row>
    <row r="95" spans="1:3">
      <c r="A95" s="98" t="s">
        <v>554</v>
      </c>
      <c r="B95" s="49"/>
      <c r="C95" s="87"/>
    </row>
    <row r="96" spans="1:3">
      <c r="A96" s="98" t="s">
        <v>555</v>
      </c>
      <c r="B96" s="49"/>
      <c r="C96" s="87"/>
    </row>
    <row r="97" spans="1:3">
      <c r="A97" s="98" t="s">
        <v>556</v>
      </c>
      <c r="B97" s="49"/>
      <c r="C97" s="87"/>
    </row>
    <row r="98" spans="1:3">
      <c r="A98" s="98" t="s">
        <v>557</v>
      </c>
      <c r="B98" s="49" t="s">
        <v>359</v>
      </c>
      <c r="C98" s="87"/>
    </row>
    <row r="99" spans="1:3">
      <c r="A99" s="98" t="s">
        <v>558</v>
      </c>
      <c r="B99" s="49"/>
      <c r="C99" s="87"/>
    </row>
    <row r="100" spans="1:3">
      <c r="A100" s="49" t="s">
        <v>559</v>
      </c>
      <c r="B100" s="49"/>
      <c r="C100" s="87"/>
    </row>
    <row r="101" spans="1:3">
      <c r="A101" s="49" t="s">
        <v>560</v>
      </c>
      <c r="B101" s="49" t="s">
        <v>455</v>
      </c>
      <c r="C101" s="87"/>
    </row>
    <row r="102" spans="1:3">
      <c r="A102" s="49" t="s">
        <v>561</v>
      </c>
      <c r="B102" s="49"/>
      <c r="C102" s="87"/>
    </row>
    <row r="103" spans="1:3">
      <c r="A103" s="49" t="s">
        <v>562</v>
      </c>
      <c r="B103" s="49" t="s">
        <v>543</v>
      </c>
      <c r="C103" s="87"/>
    </row>
    <row r="104" spans="1:3">
      <c r="A104" s="49" t="s">
        <v>563</v>
      </c>
      <c r="B104" s="49" t="s">
        <v>543</v>
      </c>
      <c r="C104" s="87"/>
    </row>
    <row r="105" spans="1:3">
      <c r="A105" s="49" t="s">
        <v>564</v>
      </c>
      <c r="C105" s="87"/>
    </row>
    <row r="106" spans="1:3">
      <c r="A106" s="49" t="s">
        <v>565</v>
      </c>
      <c r="B106" s="49" t="s">
        <v>543</v>
      </c>
      <c r="C106" s="87"/>
    </row>
    <row r="107" spans="1:3">
      <c r="A107" s="49" t="s">
        <v>566</v>
      </c>
      <c r="B107" s="49" t="s">
        <v>447</v>
      </c>
      <c r="C107" s="87" t="s">
        <v>567</v>
      </c>
    </row>
    <row r="108" spans="1:3">
      <c r="A108" s="49" t="s">
        <v>568</v>
      </c>
      <c r="B108" s="49"/>
      <c r="C108" s="87"/>
    </row>
    <row r="109" spans="1:3">
      <c r="A109" s="49" t="s">
        <v>569</v>
      </c>
      <c r="B109" s="49"/>
      <c r="C109" s="87"/>
    </row>
    <row r="110" spans="1:3">
      <c r="A110" s="49" t="s">
        <v>570</v>
      </c>
      <c r="B110" s="49"/>
      <c r="C110" s="87"/>
    </row>
    <row r="111" spans="1:3">
      <c r="A111" s="49" t="s">
        <v>571</v>
      </c>
      <c r="B111" s="49" t="s">
        <v>572</v>
      </c>
      <c r="C111" s="87"/>
    </row>
    <row r="112" spans="1:3">
      <c r="A112" s="49" t="s">
        <v>573</v>
      </c>
      <c r="B112" s="49"/>
      <c r="C112" s="87"/>
    </row>
    <row r="113" spans="1:3">
      <c r="A113" s="49" t="s">
        <v>574</v>
      </c>
      <c r="B113" s="49" t="s">
        <v>572</v>
      </c>
      <c r="C113" s="87"/>
    </row>
    <row r="114" spans="1:3">
      <c r="A114" s="49" t="s">
        <v>575</v>
      </c>
      <c r="B114" s="49" t="s">
        <v>576</v>
      </c>
      <c r="C114" s="87"/>
    </row>
    <row r="115" spans="1:3">
      <c r="A115" s="49" t="s">
        <v>577</v>
      </c>
      <c r="B115" s="49"/>
      <c r="C115" s="87"/>
    </row>
    <row r="116" spans="1:3">
      <c r="A116" s="49" t="s">
        <v>578</v>
      </c>
      <c r="B116" s="49"/>
      <c r="C116" s="87"/>
    </row>
    <row r="117" spans="1:3">
      <c r="A117" s="49" t="s">
        <v>579</v>
      </c>
      <c r="B117" s="49"/>
      <c r="C117" s="87"/>
    </row>
    <row r="118" spans="1:3">
      <c r="A118" s="49" t="s">
        <v>580</v>
      </c>
      <c r="B118" s="49"/>
      <c r="C118" s="87"/>
    </row>
    <row r="119" spans="1:3">
      <c r="A119" s="49" t="s">
        <v>581</v>
      </c>
      <c r="B119" s="49" t="s">
        <v>392</v>
      </c>
      <c r="C119" s="87"/>
    </row>
    <row r="120" spans="1:3">
      <c r="A120" s="49" t="s">
        <v>582</v>
      </c>
      <c r="B120" s="49"/>
      <c r="C120" s="87"/>
    </row>
    <row r="121" spans="1:3">
      <c r="A121" s="49" t="s">
        <v>583</v>
      </c>
      <c r="B121" s="49"/>
      <c r="C121" s="87"/>
    </row>
    <row r="122" spans="1:3">
      <c r="A122" s="49" t="s">
        <v>584</v>
      </c>
      <c r="B122" s="49" t="s">
        <v>392</v>
      </c>
      <c r="C122" s="87"/>
    </row>
    <row r="123" spans="1:3">
      <c r="A123" s="49" t="s">
        <v>585</v>
      </c>
      <c r="B123" s="49" t="s">
        <v>392</v>
      </c>
      <c r="C123" s="87"/>
    </row>
    <row r="124" spans="1:3">
      <c r="A124" s="49" t="s">
        <v>586</v>
      </c>
      <c r="B124" s="49"/>
      <c r="C124" s="87"/>
    </row>
    <row r="125" spans="1:3">
      <c r="A125" s="49" t="s">
        <v>587</v>
      </c>
      <c r="B125" s="49"/>
      <c r="C125" s="87"/>
    </row>
    <row r="126" spans="1:3">
      <c r="A126" s="49" t="s">
        <v>588</v>
      </c>
      <c r="B126" s="49" t="s">
        <v>366</v>
      </c>
      <c r="C126" s="87"/>
    </row>
    <row r="127" spans="1:3">
      <c r="A127" s="99" t="s">
        <v>589</v>
      </c>
      <c r="B127" s="87" t="s">
        <v>359</v>
      </c>
      <c r="C127" s="87"/>
    </row>
    <row r="128" spans="1:3">
      <c r="A128" s="99" t="s">
        <v>590</v>
      </c>
      <c r="B128" s="87" t="s">
        <v>359</v>
      </c>
      <c r="C128" s="87"/>
    </row>
    <row r="129" spans="1:3">
      <c r="A129" s="87"/>
      <c r="B129" s="87"/>
      <c r="C129" s="87"/>
    </row>
    <row r="130" spans="1:3">
      <c r="A130" s="87"/>
      <c r="B130" s="87"/>
      <c r="C130" s="87"/>
    </row>
    <row r="131" spans="1:3">
      <c r="A131" s="87"/>
      <c r="B131" s="87"/>
      <c r="C131" s="87"/>
    </row>
  </sheetData>
  <hyperlinks>
    <hyperlink ref="J1" r:id="rId1" xr:uid="{ABD39104-7580-4555-BE46-7A041A865A43}"/>
    <hyperlink ref="J2" r:id="rId2" xr:uid="{DA3B7795-6F98-4C7F-9600-F6A1F702DFD2}"/>
    <hyperlink ref="J11" r:id="rId3" xr:uid="{E477BE27-C1CF-4A94-AFF4-731A56EE75CA}"/>
  </hyperlinks>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6f9e26a-ee38-4e36-8a31-e8fabd8c9fa6">
      <Terms xmlns="http://schemas.microsoft.com/office/infopath/2007/PartnerControls"/>
    </lcf76f155ced4ddcb4097134ff3c332f>
    <_ip_UnifiedCompliancePolicyProperties xmlns="http://schemas.microsoft.com/sharepoint/v3" xsi:nil="true"/>
    <TaxCatchAll xmlns="704f2bac-753b-4e61-bbe1-d588e788b8b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DF3B8690B7E349A9F4EBF14A3BE970" ma:contentTypeVersion="17" ma:contentTypeDescription="Create a new document." ma:contentTypeScope="" ma:versionID="7b95c4f33cf8901fcc760837571ee9cc">
  <xsd:schema xmlns:xsd="http://www.w3.org/2001/XMLSchema" xmlns:xs="http://www.w3.org/2001/XMLSchema" xmlns:p="http://schemas.microsoft.com/office/2006/metadata/properties" xmlns:ns1="http://schemas.microsoft.com/sharepoint/v3" xmlns:ns2="704f2bac-753b-4e61-bbe1-d588e788b8ba" xmlns:ns3="56f9e26a-ee38-4e36-8a31-e8fabd8c9fa6" targetNamespace="http://schemas.microsoft.com/office/2006/metadata/properties" ma:root="true" ma:fieldsID="217206d42e18358b8424abf95cb0349c" ns1:_="" ns2:_="" ns3:_="">
    <xsd:import namespace="http://schemas.microsoft.com/sharepoint/v3"/>
    <xsd:import namespace="704f2bac-753b-4e61-bbe1-d588e788b8ba"/>
    <xsd:import namespace="56f9e26a-ee38-4e36-8a31-e8fabd8c9fa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f2bac-753b-4e61-bbe1-d588e788b8b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e1dcaf9-8f29-4489-88b9-8597949c235d}" ma:internalName="TaxCatchAll" ma:showField="CatchAllData" ma:web="704f2bac-753b-4e61-bbe1-d588e788b8b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6f9e26a-ee38-4e36-8a31-e8fabd8c9fa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4B9A37-DDC0-4E59-B29E-BCCCBECDBFC5}"/>
</file>

<file path=customXml/itemProps2.xml><?xml version="1.0" encoding="utf-8"?>
<ds:datastoreItem xmlns:ds="http://schemas.openxmlformats.org/officeDocument/2006/customXml" ds:itemID="{3D149972-F682-4EE3-ACCD-4A6565E00C4D}"/>
</file>

<file path=customXml/itemProps3.xml><?xml version="1.0" encoding="utf-8"?>
<ds:datastoreItem xmlns:ds="http://schemas.openxmlformats.org/officeDocument/2006/customXml" ds:itemID="{33E1AA08-23B6-4000-924F-AF88F65E86F2}"/>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2026-02-02T08:43:26Z</dcterms:created>
  <dcterms:modified xsi:type="dcterms:W3CDTF">2026-04-13T02:29:06Z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0x01010025DF3B8690B7E349A9F4EBF14A3BE970</vt:lpwstr>
  </property>
  <property fmtid="{D5CDD505-2E9C-101B-9397-08002B2CF9AE}" pid="3" name="MediaServiceImageTags">
    <vt:lpwstr/>
  </property>
</Properties>
</file>